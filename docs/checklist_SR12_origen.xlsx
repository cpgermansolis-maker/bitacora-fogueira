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iario" sheetId="2" state="visible" r:id="rId4"/>
    <sheet name="Semanal" sheetId="3" state="visible" r:id="rId5"/>
    <sheet name="Mensual" sheetId="4" state="visible" r:id="rId6"/>
    <sheet name="Bitácora" sheetId="5" state="visible" r:id="rId7"/>
    <sheet name="Cómo usarl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Auditoría</author>
  </authors>
  <commentList>
    <comment ref="E5" authorId="0">
      <text>
        <r>
          <rPr>
            <sz val="10"/>
            <rFont val="Arial"/>
            <family val="2"/>
          </rPr>
          <t xml:space="preserve">Por qué importa: Sin Corte Z firmado no hay evidencia del cierre de ventas del día.</t>
        </r>
      </text>
    </comment>
    <comment ref="E6" authorId="0">
      <text>
        <r>
          <rPr>
            <sz val="10"/>
            <rFont val="Arial"/>
            <family val="2"/>
          </rPr>
          <t xml:space="preserve">Por qué importa: Diferencias diarias indican fallas de captura o faltantes.</t>
        </r>
      </text>
    </comment>
    <comment ref="E7" authorId="0">
      <text>
        <r>
          <rPr>
            <sz val="10"/>
            <rFont val="Arial"/>
            <family val="2"/>
          </rPr>
          <t xml:space="preserve">Por qué importa: Comandas abiertas distorsionan inventarios y ventas.</t>
        </r>
      </text>
    </comment>
    <comment ref="E8" authorId="0">
      <text>
        <r>
          <rPr>
            <sz val="10"/>
            <rFont val="Arial"/>
            <family val="2"/>
          </rPr>
          <t xml:space="preserve">Por qué importa: Las cancelaciones sin autorización son foco rojo de fraude.</t>
        </r>
      </text>
    </comment>
    <comment ref="E9" authorId="0">
      <text>
        <r>
          <rPr>
            <sz val="10"/>
            <rFont val="Arial"/>
            <family val="2"/>
          </rPr>
          <t xml:space="preserve">Por qué importa: Entradas no capturadas rompen el saldo teórico del inventario.</t>
        </r>
      </text>
    </comment>
    <comment ref="E10" authorId="0">
      <text>
        <r>
          <rPr>
            <sz val="10"/>
            <rFont val="Arial"/>
            <family val="2"/>
          </rPr>
          <t xml:space="preserve">Por qué importa: Sin salidas el sistema reporta más existencia de la real.</t>
        </r>
      </text>
    </comment>
    <comment ref="E11" authorId="0">
      <text>
        <r>
          <rPr>
            <sz val="10"/>
            <rFont val="Arial"/>
            <family val="2"/>
          </rPr>
          <t xml:space="preserve">Por qué importa: Las mermas no documentadas se confunden con robo o faltante.</t>
        </r>
      </text>
    </comment>
    <comment ref="E12" authorId="0">
      <text>
        <r>
          <rPr>
            <sz val="10"/>
            <rFont val="Arial"/>
            <family val="2"/>
          </rPr>
          <t xml:space="preserve">Por qué importa: Hallazgo H19 — separación y temperatura de proteínas.</t>
        </r>
      </text>
    </comment>
    <comment ref="E13" authorId="0">
      <text>
        <r>
          <rPr>
            <sz val="10"/>
            <rFont val="Arial"/>
            <family val="2"/>
          </rPr>
          <t xml:space="preserve">Por qué importa: Sin OC ligada no hay control 3-way match (OC vs factura vs entrada).</t>
        </r>
      </text>
    </comment>
    <comment ref="E14" authorId="0">
      <text>
        <r>
          <rPr>
            <sz val="10"/>
            <rFont val="Arial"/>
            <family val="2"/>
          </rPr>
          <t xml:space="preserve">Por qué importa: Precios viejos distorsionan el costo de recetas y el margen.</t>
        </r>
      </text>
    </comment>
    <comment ref="E15" authorId="0">
      <text>
        <r>
          <rPr>
            <sz val="10"/>
            <rFont val="Arial"/>
            <family val="2"/>
          </rPr>
          <t xml:space="preserve">Por qué importa: Insumo: ítem H3 — caducados y H7 — desperdicios.</t>
        </r>
      </text>
    </comment>
    <comment ref="E16" authorId="0">
      <text>
        <r>
          <rPr>
            <sz val="10"/>
            <rFont val="Arial"/>
            <family val="2"/>
          </rPr>
          <t xml:space="preserve">Por qué importa: Plato sin receta = no descarga insumo = inventario falso.</t>
        </r>
      </text>
    </comment>
    <comment ref="E17" authorId="0">
      <text>
        <r>
          <rPr>
            <sz val="10"/>
            <rFont val="Arial"/>
            <family val="2"/>
          </rPr>
          <t xml:space="preserve">Por qué importa: Control de supervisión gerencial diaria.</t>
        </r>
      </text>
    </comment>
    <comment ref="E18" authorId="0">
      <text>
        <r>
          <rPr>
            <sz val="10"/>
            <rFont val="Arial"/>
            <family val="2"/>
          </rPr>
          <t xml:space="preserve">Por qué importa: Cortesías sin política es fuga directa de margen.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Auditoría</author>
  </authors>
  <commentList>
    <comment ref="E5" authorId="0">
      <text>
        <r>
          <rPr>
            <sz val="10"/>
            <rFont val="Arial"/>
            <family val="2"/>
          </rPr>
          <t xml:space="preserve">Por qué importa: Detecta diferencias antes del cierre mensual, no al final.</t>
        </r>
      </text>
    </comment>
    <comment ref="E6" authorId="0">
      <text>
        <r>
          <rPr>
            <sz val="10"/>
            <rFont val="Arial"/>
            <family val="2"/>
          </rPr>
          <t xml:space="preserve">Por qué importa: Productos críticos = mayor valor/rotación.</t>
        </r>
      </text>
    </comment>
    <comment ref="E7" authorId="0">
      <text>
        <r>
          <rPr>
            <sz val="10"/>
            <rFont val="Arial"/>
            <family val="2"/>
          </rPr>
          <t xml:space="preserve">Por qué importa: Bar es el área de mayor riesgo de merma sin control.</t>
        </r>
      </text>
    </comment>
    <comment ref="E8" authorId="0">
      <text>
        <r>
          <rPr>
            <sz val="10"/>
            <rFont val="Arial"/>
            <family val="2"/>
          </rPr>
          <t xml:space="preserve">Por qué importa: Es el control que cierra el ciclo de compras.</t>
        </r>
      </text>
    </comment>
    <comment ref="E9" authorId="0">
      <text>
        <r>
          <rPr>
            <sz val="10"/>
            <rFont val="Arial"/>
            <family val="2"/>
          </rPr>
          <t xml:space="preserve">Por qué importa: Mantiene actualizado el costeo del menú.</t>
        </r>
      </text>
    </comment>
    <comment ref="E10" authorId="0">
      <text>
        <r>
          <rPr>
            <sz val="10"/>
            <rFont val="Arial"/>
            <family val="2"/>
          </rPr>
          <t xml:space="preserve">Por qué importa: Causa raíz #2 — recetas estándar incompletas.</t>
        </r>
      </text>
    </comment>
    <comment ref="E11" authorId="0">
      <text>
        <r>
          <rPr>
            <sz val="10"/>
            <rFont val="Arial"/>
            <family val="2"/>
          </rPr>
          <t xml:space="preserve">Por qué importa: Sin receta nueva = plato no descarga insumo.</t>
        </r>
      </text>
    </comment>
    <comment ref="E12" authorId="0">
      <text>
        <r>
          <rPr>
            <sz val="10"/>
            <rFont val="Arial"/>
            <family val="2"/>
          </rPr>
          <t xml:space="preserve">Por qué importa: Detecta patrones de mal uso del POS.</t>
        </r>
      </text>
    </comment>
    <comment ref="E13" authorId="0">
      <text>
        <r>
          <rPr>
            <sz val="10"/>
            <rFont val="Arial"/>
            <family val="2"/>
          </rPr>
          <t xml:space="preserve">Por qué importa: Identifica causa raíz de la merma — no solo el monto.</t>
        </r>
      </text>
    </comment>
    <comment ref="E14" authorId="0">
      <text>
        <r>
          <rPr>
            <sz val="10"/>
            <rFont val="Arial"/>
            <family val="2"/>
          </rPr>
          <t xml:space="preserve">Por qué importa: Hace visible el avance y los puntos rojos.</t>
        </r>
      </text>
    </comment>
    <comment ref="E15" authorId="0">
      <text>
        <r>
          <rPr>
            <sz val="10"/>
            <rFont val="Arial"/>
            <family val="2"/>
          </rPr>
          <t xml:space="preserve">Por qué importa: El margen bruto es el síntoma temprano de fugas.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Auditoría</author>
  </authors>
  <commentList>
    <comment ref="E5" authorId="0">
      <text>
        <r>
          <rPr>
            <sz val="10"/>
            <rFont val="Arial"/>
            <family val="2"/>
          </rPr>
          <t xml:space="preserve">Por qué importa: Es el control fuerte. Sin él, los conteos cíclicos pierden valor.</t>
        </r>
      </text>
    </comment>
    <comment ref="E6" authorId="0">
      <text>
        <r>
          <rPr>
            <sz val="10"/>
            <rFont val="Arial"/>
            <family val="2"/>
          </rPr>
          <t xml:space="preserve">Por qué importa: Sin justificación, las diferencias se vuelven crónicas.</t>
        </r>
      </text>
    </comment>
    <comment ref="E7" authorId="0">
      <text>
        <r>
          <rPr>
            <sz val="10"/>
            <rFont val="Arial"/>
            <family val="2"/>
          </rPr>
          <t xml:space="preserve">Por qué importa: Detecta facturas duplicadas o no recibidas.</t>
        </r>
      </text>
    </comment>
    <comment ref="E8" authorId="0">
      <text>
        <r>
          <rPr>
            <sz val="10"/>
            <rFont val="Arial"/>
            <family val="2"/>
          </rPr>
          <t xml:space="preserve">Por qué importa: Proveedores fantasma o duplicados son riesgo de fraude.</t>
        </r>
      </text>
    </comment>
    <comment ref="E9" authorId="0">
      <text>
        <r>
          <rPr>
            <sz val="10"/>
            <rFont val="Arial"/>
            <family val="2"/>
          </rPr>
          <t xml:space="preserve">Por qué importa: Cierre formal del control de efectivo mensual.</t>
        </r>
      </text>
    </comment>
    <comment ref="E10" authorId="0">
      <text>
        <r>
          <rPr>
            <sz val="10"/>
            <rFont val="Arial"/>
            <family val="2"/>
          </rPr>
          <t xml:space="preserve">Por qué importa: Identifica menú zombie y desperdicio de inventario.</t>
        </r>
      </text>
    </comment>
    <comment ref="E11" authorId="0">
      <text>
        <r>
          <rPr>
            <sz val="10"/>
            <rFont val="Arial"/>
            <family val="2"/>
          </rPr>
          <t xml:space="preserve">Por qué importa: Convierte el dato en decisiones.</t>
        </r>
      </text>
    </comment>
    <comment ref="E12" authorId="0">
      <text>
        <r>
          <rPr>
            <sz val="10"/>
            <rFont val="Arial"/>
            <family val="2"/>
          </rPr>
          <t xml:space="preserve">Por qué importa: Garantiza margen actualizado en menú.</t>
        </r>
      </text>
    </comment>
    <comment ref="E13" authorId="0">
      <text>
        <r>
          <rPr>
            <sz val="10"/>
            <rFont val="Arial"/>
            <family val="2"/>
          </rPr>
          <t xml:space="preserve">Por qué importa: Marca el punto de no retorno del mes en el sistema.</t>
        </r>
      </text>
    </comment>
    <comment ref="E14" authorId="0">
      <text>
        <r>
          <rPr>
            <sz val="10"/>
            <rFont val="Arial"/>
            <family val="2"/>
          </rPr>
          <t xml:space="preserve">Por qué importa: Cierra el ciclo de supervisión externa.</t>
        </r>
      </text>
    </comment>
    <comment ref="E15" authorId="0">
      <text>
        <r>
          <rPr>
            <sz val="10"/>
            <rFont val="Arial"/>
            <family val="2"/>
          </rPr>
          <t xml:space="preserve">Por qué importa: Mantiene viva la mejora del 62 % al 100 %.</t>
        </r>
      </text>
    </comment>
  </commentList>
</comments>
</file>

<file path=xl/sharedStrings.xml><?xml version="1.0" encoding="utf-8"?>
<sst xmlns="http://schemas.openxmlformats.org/spreadsheetml/2006/main" count="209" uniqueCount="124">
  <si>
    <t xml:space="preserve">CHECK LIST DE SUPERVISIÓN — SOFT RESTAURANT 12</t>
  </si>
  <si>
    <t xml:space="preserve">Fogueira  •  Supervisora: Mónica Solís  •  Meta: pasar del 62 % al 100 % de aprovechamiento</t>
  </si>
  <si>
    <t xml:space="preserve">AVANCE GLOBAL HACIA EL 100 %</t>
  </si>
  <si>
    <t xml:space="preserve">AVANCE POR FRECUENCIA DE REVISIÓN</t>
  </si>
  <si>
    <t xml:space="preserve">Diario</t>
  </si>
  <si>
    <t xml:space="preserve">Semanal</t>
  </si>
  <si>
    <t xml:space="preserve">Mensual</t>
  </si>
  <si>
    <t xml:space="preserve">AVANCE POR ÁREA / RESPONSABLE</t>
  </si>
  <si>
    <t xml:space="preserve">Área</t>
  </si>
  <si>
    <t xml:space="preserve">Promedio área</t>
  </si>
  <si>
    <t xml:space="preserve">Avanzado</t>
  </si>
  <si>
    <t xml:space="preserve">POS / Cajero</t>
  </si>
  <si>
    <t xml:space="preserve">Brecha</t>
  </si>
  <si>
    <t xml:space="preserve">Almacén</t>
  </si>
  <si>
    <t xml:space="preserve">Compras</t>
  </si>
  <si>
    <t xml:space="preserve">Frecuencia</t>
  </si>
  <si>
    <t xml:space="preserve">Avance</t>
  </si>
  <si>
    <t xml:space="preserve">Cocina</t>
  </si>
  <si>
    <t xml:space="preserve">Gerencia</t>
  </si>
  <si>
    <t xml:space="preserve">C.P. Germán Solís Zamora — Auditor Interno  •  Grupo Toda  •  Folio: AUD-2025-FOG-001</t>
  </si>
  <si>
    <t xml:space="preserve">CHECK LIST DIARIO — SR12 FOGUEIRA</t>
  </si>
  <si>
    <t xml:space="preserve">Marca 1 = cumplido  •  0 = no cumplido  •  vacío = no revisado.  El Dashboard se actualiza solo.</t>
  </si>
  <si>
    <t xml:space="preserve">#</t>
  </si>
  <si>
    <t xml:space="preserve">Puesto</t>
  </si>
  <si>
    <t xml:space="preserve">Responsable</t>
  </si>
  <si>
    <t xml:space="preserve">Verificación</t>
  </si>
  <si>
    <t xml:space="preserve">Lun</t>
  </si>
  <si>
    <t xml:space="preserve">Mar</t>
  </si>
  <si>
    <t xml:space="preserve">Mié</t>
  </si>
  <si>
    <t xml:space="preserve">Jue</t>
  </si>
  <si>
    <t xml:space="preserve">Vie</t>
  </si>
  <si>
    <t xml:space="preserve">Sáb</t>
  </si>
  <si>
    <t xml:space="preserve">Dom</t>
  </si>
  <si>
    <t xml:space="preserve">% cumplimiento</t>
  </si>
  <si>
    <t xml:space="preserve">Notas / hallazgos</t>
  </si>
  <si>
    <t xml:space="preserve">_pct_fila</t>
  </si>
  <si>
    <t xml:space="preserve">Cajero en turno</t>
  </si>
  <si>
    <t xml:space="preserve">¿Se imprimió y archivó el Corte Z al cierre del turno?</t>
  </si>
  <si>
    <t xml:space="preserve">¿Cuadró el efectivo del POS contra la caja física? (diferencia ≤ $50)</t>
  </si>
  <si>
    <t xml:space="preserve">¿Todas las cuentas/comandas del día quedaron cerradas? (ninguna abierta)</t>
  </si>
  <si>
    <t xml:space="preserve">¿Cancelaciones del día están justificadas y autorizadas por gerente?</t>
  </si>
  <si>
    <t xml:space="preserve">Almacenista</t>
  </si>
  <si>
    <t xml:space="preserve">¿Se capturaron en SR12 todas las entradas de mercancía recibidas hoy?</t>
  </si>
  <si>
    <t xml:space="preserve">¿Se registraron las salidas/traspasos del día (cocina, bar, sub-almacenes)?</t>
  </si>
  <si>
    <t xml:space="preserve">¿Se registraron las mermas y desperdicios del día (si los hubo)?</t>
  </si>
  <si>
    <t xml:space="preserve">¿Refrigeradores con temperatura registrada en bitácora? (≤ 4 °C / ≤ -18 °C)</t>
  </si>
  <si>
    <t xml:space="preserve">Comprador</t>
  </si>
  <si>
    <t xml:space="preserve">¿Cada factura recibida hoy quedó capturada en SR12 con su orden de compra?</t>
  </si>
  <si>
    <t xml:space="preserve">¿Las compras del día tienen precio actualizado en el catálogo?</t>
  </si>
  <si>
    <t xml:space="preserve">Chef en turno</t>
  </si>
  <si>
    <t xml:space="preserve">¿Se reportaron mermas y desperdicios del turno con foto/firma?</t>
  </si>
  <si>
    <t xml:space="preserve">¿Hubo platos vendidos sin receta cargada en SR12? (debe ser CERO)</t>
  </si>
  <si>
    <t xml:space="preserve">Mónica Solís</t>
  </si>
  <si>
    <t xml:space="preserve">¿Se revisó y firmó el reporte de ventas del día y el Corte Z?</t>
  </si>
  <si>
    <t xml:space="preserve">¿Se revisó el reporte de descuentos/cortesías del día?</t>
  </si>
  <si>
    <t xml:space="preserve">CHECK LIST SEMANAL — SR12 FOGUEIRA</t>
  </si>
  <si>
    <t xml:space="preserve">Sem 1</t>
  </si>
  <si>
    <t xml:space="preserve">Sem 2</t>
  </si>
  <si>
    <t xml:space="preserve">Sem 3</t>
  </si>
  <si>
    <t xml:space="preserve">Sem 4</t>
  </si>
  <si>
    <t xml:space="preserve">Conteo cíclico semanal de al menos 1 sección (rotando).</t>
  </si>
  <si>
    <t xml:space="preserve">Top 10 productos críticos: saldo SR12 vs físico. Diferencia ≤ 2 %.</t>
  </si>
  <si>
    <t xml:space="preserve">Inventario teórico de bar al cierre semanal.</t>
  </si>
  <si>
    <t xml:space="preserve">Conciliar facturas del proveedor contra OC y entradas (3-way match).</t>
  </si>
  <si>
    <t xml:space="preserve">Actualizar precios de insumos críticos (top 20 por valor).</t>
  </si>
  <si>
    <t xml:space="preserve">POS / Cocina</t>
  </si>
  <si>
    <t xml:space="preserve">Chef + Cajero</t>
  </si>
  <si>
    <t xml:space="preserve">Revisar que los 20 platos más vendidos tengan receta vigente cargada.</t>
  </si>
  <si>
    <t xml:space="preserve">Chef</t>
  </si>
  <si>
    <t xml:space="preserve">Cargar en SR12 las recetas de cualquier plato nuevo introducido.</t>
  </si>
  <si>
    <t xml:space="preserve">Cajero</t>
  </si>
  <si>
    <t xml:space="preserve">Revisar descuentos/cancelaciones de la semana y validar autorización.</t>
  </si>
  <si>
    <t xml:space="preserve">Análisis semanal de mermas por categoría (proteína, lácteos, vegetales).</t>
  </si>
  <si>
    <t xml:space="preserve">Reunión semanal de KPIs con responsables de área.</t>
  </si>
  <si>
    <t xml:space="preserve">Revisar margen bruto semanal y comparar contra meta.</t>
  </si>
  <si>
    <t xml:space="preserve">CHECK LIST MENSUAL — SR12 FOGUEIRA</t>
  </si>
  <si>
    <t xml:space="preserve">Ene</t>
  </si>
  <si>
    <t xml:space="preserve">Feb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</si>
  <si>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</si>
  <si>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</si>
  <si>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</si>
  <si>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</si>
  <si>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</si>
  <si>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</si>
  <si>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</si>
  <si>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</si>
  <si>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</si>
  <si>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Inventario físico mensual completo (almacén general + sub-almacenes + bar).</t>
  </si>
  <si>
    <t xml:space="preserve">Almacenista + Mónica</t>
  </si>
  <si>
    <t xml:space="preserve">Diferencias &gt; 2 % con justificación documentada y firma.</t>
  </si>
  <si>
    <t xml:space="preserve">Comprador + Contabilidad</t>
  </si>
  <si>
    <t xml:space="preserve">Conciliación de cuentas por pagar contra estados del proveedor.</t>
  </si>
  <si>
    <t xml:space="preserve">Catálogo de proveedores revisado y actualizado.</t>
  </si>
  <si>
    <t xml:space="preserve">POS</t>
  </si>
  <si>
    <t xml:space="preserve">Cajero + Mónica</t>
  </si>
  <si>
    <t xml:space="preserve">Conciliación POS vs caja chica del mes.</t>
  </si>
  <si>
    <t xml:space="preserve">Reporte de productos sin movimiento del mes.</t>
  </si>
  <si>
    <t xml:space="preserve">Análisis mensual de mermas por categoría con plan de acción.</t>
  </si>
  <si>
    <t xml:space="preserve">Re-costeo mensual de recetas con precios vigentes de insumos.</t>
  </si>
  <si>
    <t xml:space="preserve">Cierre mensual ejecutado en SR12 (cierre contable / inventarios).</t>
  </si>
  <si>
    <t xml:space="preserve">Reporte gerencial mensual generado y firmado por Contralor.</t>
  </si>
  <si>
    <t xml:space="preserve">Junta mensual de revisión de avance de Plan de Remediación.</t>
  </si>
  <si>
    <t xml:space="preserve">BITÁCORA DE HALLAZGOS — SUPERVISIÓN SR12</t>
  </si>
  <si>
    <t xml:space="preserve">Mónica anota aquí cualquier desviación detectada durante la supervisión. Cada hallazgo debe tener responsable y fecha compromiso.</t>
  </si>
  <si>
    <t xml:space="preserve">Fecha</t>
  </si>
  <si>
    <t xml:space="preserve">Hallazgo / desviación</t>
  </si>
  <si>
    <t xml:space="preserve">Acción acordada</t>
  </si>
  <si>
    <t xml:space="preserve">Compromiso (fecha)</t>
  </si>
  <si>
    <t xml:space="preserve">Estatus</t>
  </si>
  <si>
    <t xml:space="preserve">CÓMO USAR ESTE CHECK LIST</t>
  </si>
  <si>
    <t xml:space="preserve">¿Para qué sirve?</t>
  </si>
  <si>
    <t xml:space="preserve">Este archivo es la herramienta diaria de Mónica Solís para supervisar que el Sistema Soft Restaurant 12 se use correctamente en Fogueira. Hoy estamos en 62 % de aprovechamiento; cada casilla marcada acerca a la operación al 100 %.</t>
  </si>
  <si>
    <t xml:space="preserve">¿Cómo se llena?</t>
  </si>
  <si>
    <t xml:space="preserve">Cada vez que Mónica revise un punto, escribe en la casilla:
    1   →   se cumplió
    0   →   no se cumplió
    (vacío) →  no se revisó hoy/esta semana/este mes
Las casillas se pintan automáticamente: verde = cumplido, rojo = no cumplido.</t>
  </si>
  <si>
    <t xml:space="preserve">¿Qué pasa con las gráficas?</t>
  </si>
  <si>
    <t xml:space="preserve">Las gráficas del Dashboard se actualizan SOLAS cada vez que se marca una casilla. No hay que hacer nada manual. El % global combina los tres niveles (diario, semanal, mensual) ponderados sobre la línea base del 62 %.</t>
  </si>
  <si>
    <t xml:space="preserve">¿Qué hacer si encuentras un fallo?</t>
  </si>
  <si>
    <t xml:space="preserve">Marcar la casilla con 0, escribir una nota corta en la columna 'Notas / hallazgos' y pasarlo a la hoja 'Bitácora' con responsable y fecha compromiso. El estatus se controla con la lista (Abierto / En proceso / Cerrado).</t>
  </si>
  <si>
    <t xml:space="preserve">¿Cada cuánto se revisa?</t>
  </si>
  <si>
    <t xml:space="preserve">Diario: al cierre de cada turno (POS, almacén, cocina, gerencia).
Semanal: cada lunes por la mañana, antes de la junta de KPIs.
Mensual: durante el cierre mensual junto con Yonder (Contralor).</t>
  </si>
  <si>
    <t xml:space="preserve">¿Quién valida?</t>
  </si>
  <si>
    <t xml:space="preserve">Mónica supervisa y firma. C.P. Germán Solís Zamora (Auditor Interno) revisa trimestralmente y reporta avance al Director General.</t>
  </si>
  <si>
    <t xml:space="preserve">Atajo de consulta</t>
  </si>
  <si>
    <t xml:space="preserve">Para saber si alguien está cumpliendo, ve a la hoja Dashboard → tabla 'Avance por área'. Verde ≥ 80 % = bien, ámbar 50-79 % = atención, rojo &lt; 50 % = intervención inmediata.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</si>
</sst>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36"/>
      <color rgb="FF00206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2060"/>
      <name val="Arial"/>
      <family val="0"/>
      <charset val="1"/>
    </font>
    <font>
      <b val="true"/>
      <sz val="14"/>
      <color rgb="FF00206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i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0070C0"/>
        <bgColor rgb="FF008080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  <sz val="10"/>
      </font>
      <fill>
        <patternFill>
          <bgColor rgb="FF00B050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Avance global hacia el 100 %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</c:ser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Avance por frecuencia de revisión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44079336"/>
        <c:axId val="6168733"/>
      </c:barChart>
      <c:catAx>
        <c:axId val="44079336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68733"/>
        <c:crosses val="autoZero"/>
        <c:auto val="1"/>
        <c:lblAlgn val="ctr"/>
        <c:lblOffset val="100"/>
        <c:noMultiLvlLbl val="0"/>
      </c:catAx>
      <c:valAx>
        <c:axId val="6168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0793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3</xdr:col>
      <xdr:colOff>1218240</xdr:colOff>
      <xdr:row>46</xdr:row>
      <xdr:rowOff>1080</xdr:rowOff>
    </xdr:to>
    <xdr:graphicFrame>
      <xdr:nvGraphicFramePr>
        <xdr:cNvPr id="1" name="Chart 1"/>
        <xdr:cNvGraphicFramePr/>
      </xdr:nvGraphicFramePr>
      <xdr:xfrm>
        <a:off x="211320" y="7343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29</xdr:row>
      <xdr:rowOff>0</xdr:rowOff>
    </xdr:from>
    <xdr:to>
      <xdr:col>10</xdr:col>
      <xdr:colOff>395640</xdr:colOff>
      <xdr:row>46</xdr:row>
      <xdr:rowOff>1080</xdr:rowOff>
    </xdr:to>
    <xdr:graphicFrame>
      <xdr:nvGraphicFramePr>
        <xdr:cNvPr id="2" name="Chart 2"/>
        <xdr:cNvGraphicFramePr/>
      </xdr:nvGraphicFramePr>
      <xdr:xfrm>
        <a:off x="4863600" y="7343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2"/>
    <col collapsed="false" customWidth="true" hidden="false" outlineLevel="0" max="7" min="7" style="0" width="3"/>
    <col collapsed="false" customWidth="true" hidden="true" outlineLevel="0" max="9" min="8" style="0" width="13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21.75" hidden="false" customHeight="true" outlineLevel="0" collapsed="false">
      <c r="B3" s="1"/>
      <c r="C3" s="1"/>
      <c r="D3" s="1"/>
      <c r="E3" s="1"/>
      <c r="F3" s="1"/>
    </row>
    <row r="4" customFormat="false" ht="21.75" hidden="false" customHeight="true" outlineLevel="0" collapsed="false">
      <c r="B4" s="1"/>
      <c r="C4" s="1"/>
      <c r="D4" s="1"/>
      <c r="E4" s="1"/>
      <c r="F4" s="1"/>
    </row>
    <row r="5" customFormat="false" ht="21.75" hidden="false" customHeight="true" outlineLevel="0" collapsed="false">
      <c r="B5" s="2" t="s">
        <v>1</v>
      </c>
      <c r="C5" s="2"/>
      <c r="D5" s="2"/>
      <c r="E5" s="2"/>
      <c r="F5" s="2"/>
    </row>
    <row r="7" customFormat="false" ht="21.75" hidden="false" customHeight="true" outlineLevel="0" collapsed="false">
      <c r="B7" s="3" t="s">
        <v>2</v>
      </c>
      <c r="C7" s="3"/>
      <c r="D7" s="3"/>
      <c r="E7" s="3"/>
      <c r="F7" s="3"/>
    </row>
    <row r="8" customFormat="false" ht="30" hidden="false" customHeight="true" outlineLevel="0" collapsed="false">
      <c r="B8" s="4" t="n">
        <f aca="false">ROUND(0.62 + (1-0.62)*((Diario!H1+Semanal!H1+Mensual!H1)/3),3)</f>
        <v>0.62</v>
      </c>
      <c r="C8" s="4"/>
      <c r="D8" s="4"/>
      <c r="E8" s="4"/>
      <c r="F8" s="4"/>
    </row>
    <row r="9" customFormat="false" ht="30" hidden="false" customHeight="true" outlineLevel="0" collapsed="false">
      <c r="B9" s="4"/>
      <c r="C9" s="4"/>
      <c r="D9" s="4"/>
      <c r="E9" s="4"/>
      <c r="F9" s="4"/>
    </row>
    <row r="10" customFormat="false" ht="30" hidden="false" customHeight="true" outlineLevel="0" collapsed="false">
      <c r="B10" s="4"/>
      <c r="C10" s="4"/>
      <c r="D10" s="4"/>
      <c r="E10" s="4"/>
      <c r="F10" s="4"/>
    </row>
    <row r="11" customFormat="false" ht="30" hidden="false" customHeight="true" outlineLevel="0" collapsed="false">
      <c r="B11" s="4"/>
      <c r="C11" s="4"/>
      <c r="D11" s="4"/>
      <c r="E11" s="4"/>
      <c r="F11" s="4"/>
    </row>
    <row r="12" customFormat="false" ht="15" hidden="false" customHeight="false" outlineLevel="0" collapsed="false">
      <c r="B12" s="5" t="str">
        <f aca="true">"Línea base auditoría: 62 %  •  Brecha por cerrar: "&amp;TEXT(1-B8,"0.0%")&amp;"  •  Fecha de revisión: "&amp;TEXT(TODAY(),"dd/mm/yyyy")</f>
        <v>Línea base auditoría: 62 %  •  Brecha por cerrar: 38.0%  •  Fecha de revisión: 07/05/2026</v>
      </c>
      <c r="C12" s="5"/>
      <c r="D12" s="5"/>
      <c r="E12" s="5"/>
      <c r="F12" s="5"/>
    </row>
    <row r="14" customFormat="false" ht="21.75" hidden="false" customHeight="true" outlineLevel="0" collapsed="false">
      <c r="B14" s="3" t="s">
        <v>3</v>
      </c>
      <c r="C14" s="3"/>
      <c r="D14" s="3"/>
      <c r="E14" s="3"/>
      <c r="F14" s="3"/>
    </row>
    <row r="15" customFormat="false" ht="12" hidden="false" customHeight="true" outlineLevel="0" collapsed="false">
      <c r="B15" s="6" t="s">
        <v>4</v>
      </c>
      <c r="C15" s="7"/>
      <c r="D15" s="6" t="s">
        <v>5</v>
      </c>
      <c r="E15" s="7"/>
      <c r="F15" s="6" t="s">
        <v>6</v>
      </c>
    </row>
    <row r="16" customFormat="false" ht="12" hidden="false" customHeight="true" outlineLevel="0" collapsed="false">
      <c r="B16" s="6"/>
      <c r="C16" s="6"/>
      <c r="D16" s="6"/>
      <c r="E16" s="6"/>
      <c r="F16" s="6"/>
    </row>
    <row r="17" customFormat="false" ht="12" hidden="false" customHeight="true" outlineLevel="0" collapsed="false">
      <c r="B17" s="6"/>
      <c r="C17" s="6"/>
      <c r="D17" s="6"/>
      <c r="E17" s="6"/>
      <c r="F17" s="6"/>
    </row>
    <row r="18" customFormat="false" ht="27.75" hidden="false" customHeight="true" outlineLevel="0" collapsed="false">
      <c r="B18" s="8" t="n">
        <f aca="false">Diario!H1</f>
        <v>0</v>
      </c>
      <c r="C18" s="8"/>
      <c r="D18" s="8" t="n">
        <f aca="false">Semanal!H1</f>
        <v>0</v>
      </c>
      <c r="E18" s="8"/>
      <c r="F18" s="9" t="n">
        <f aca="false">Mensual!H1</f>
        <v>0</v>
      </c>
    </row>
    <row r="19" customFormat="false" ht="18" hidden="false" customHeight="true" outlineLevel="0" collapsed="false">
      <c r="B19" s="5" t="str">
        <f aca="false">COUNTIF(Diario!F5:L18,1)&amp;" cumplidas / "&amp;(COUNTA(Diario!E5:E18)*7)&amp;" posibles"</f>
        <v>0 cumplidas / 98 posibles</v>
      </c>
      <c r="C19" s="5"/>
      <c r="D19" s="5" t="str">
        <f aca="false">COUNTIF(Semanal!F5:I15,1)&amp;" cumplidas / "&amp;(COUNTA(Semanal!E5:E15)*4)&amp;" posibles"</f>
        <v>0 cumplidas / 44 posibles</v>
      </c>
      <c r="E19" s="5"/>
      <c r="F19" s="10" t="str">
        <f aca="false">COUNTIF(Mensual!F5:Q15,1)&amp;" cumplidas / "&amp;(COUNTA(Mensual!E5:E15)*12)&amp;" posibles"</f>
        <v>0 cumplidas / 132 posibles</v>
      </c>
    </row>
    <row r="21" customFormat="false" ht="21.75" hidden="false" customHeight="true" outlineLevel="0" collapsed="false">
      <c r="B21" s="3" t="s">
        <v>7</v>
      </c>
      <c r="C21" s="3"/>
      <c r="D21" s="3"/>
      <c r="E21" s="3"/>
      <c r="F21" s="3"/>
    </row>
    <row r="22" customFormat="false" ht="21.75" hidden="false" customHeight="true" outlineLevel="0" collapsed="false">
      <c r="B22" s="11" t="s">
        <v>8</v>
      </c>
      <c r="C22" s="11" t="s">
        <v>4</v>
      </c>
      <c r="D22" s="11" t="s">
        <v>5</v>
      </c>
      <c r="E22" s="11" t="s">
        <v>6</v>
      </c>
      <c r="F22" s="11" t="s">
        <v>9</v>
      </c>
      <c r="H22" s="12" t="s">
        <v>10</v>
      </c>
      <c r="I22" s="13" t="n">
        <f aca="false">B8</f>
        <v>0.62</v>
      </c>
    </row>
    <row r="23" customFormat="false" ht="19.5" hidden="false" customHeight="true" outlineLevel="0" collapsed="false">
      <c r="B23" s="14" t="s">
        <v>11</v>
      </c>
      <c r="C23" s="15" t="n">
        <f aca="false">IFERROR(SUMIFS(Diario!O5:O100,Diario!C5:C100,"*"&amp;B23&amp;"*")/COUNTIFS(Diario!C5:C100,"*"&amp;B23&amp;"*"),0)</f>
        <v>0</v>
      </c>
      <c r="D23" s="15" t="n">
        <f aca="false">IFERROR(SUMIFS(Semanal!L5:L100,Semanal!C5:C100,"*"&amp;B23&amp;"*")/COUNTIFS(Semanal!C5:C100,"*"&amp;B23&amp;"*"),0)</f>
        <v>0</v>
      </c>
      <c r="E23" s="15" t="n">
        <f aca="false">IFERROR(SUMIFS(Mensual!T5:T100,Mensual!C5:C100,"*"&amp;B23&amp;"*")/COUNTIFS(Mensual!C5:C100,"*"&amp;B23&amp;"*"),0)</f>
        <v>0</v>
      </c>
      <c r="F23" s="15" t="n">
        <f aca="false">IFERROR(AVERAGE(C23:E23),0)</f>
        <v>0</v>
      </c>
      <c r="H23" s="12" t="s">
        <v>12</v>
      </c>
      <c r="I23" s="13" t="n">
        <f aca="false">1-B8</f>
        <v>0.38</v>
      </c>
    </row>
    <row r="24" customFormat="false" ht="19.5" hidden="false" customHeight="true" outlineLevel="0" collapsed="false">
      <c r="B24" s="14" t="s">
        <v>13</v>
      </c>
      <c r="C24" s="15" t="n">
        <f aca="false">IFERROR(SUMIFS(Diario!O5:O100,Diario!C5:C100,"*"&amp;B24&amp;"*")/COUNTIFS(Diario!C5:C100,"*"&amp;B24&amp;"*"),0)</f>
        <v>0</v>
      </c>
      <c r="D24" s="15" t="n">
        <f aca="false">IFERROR(SUMIFS(Semanal!L5:L100,Semanal!C5:C100,"*"&amp;B24&amp;"*")/COUNTIFS(Semanal!C5:C100,"*"&amp;B24&amp;"*"),0)</f>
        <v>0</v>
      </c>
      <c r="E24" s="15" t="n">
        <f aca="false">IFERROR(SUMIFS(Mensual!T5:T100,Mensual!C5:C100,"*"&amp;B24&amp;"*")/COUNTIFS(Mensual!C5:C100,"*"&amp;B24&amp;"*"),0)</f>
        <v>0</v>
      </c>
      <c r="F24" s="15" t="n">
        <f aca="false">IFERROR(AVERAGE(C24:E24),0)</f>
        <v>0</v>
      </c>
    </row>
    <row r="25" customFormat="false" ht="19.5" hidden="false" customHeight="true" outlineLevel="0" collapsed="false">
      <c r="B25" s="14" t="s">
        <v>14</v>
      </c>
      <c r="C25" s="15" t="n">
        <f aca="false">IFERROR(SUMIFS(Diario!O5:O100,Diario!C5:C100,"*"&amp;B25&amp;"*")/COUNTIFS(Diario!C5:C100,"*"&amp;B25&amp;"*"),0)</f>
        <v>0</v>
      </c>
      <c r="D25" s="15" t="n">
        <f aca="false">IFERROR(SUMIFS(Semanal!L5:L100,Semanal!C5:C100,"*"&amp;B25&amp;"*")/COUNTIFS(Semanal!C5:C100,"*"&amp;B25&amp;"*"),0)</f>
        <v>0</v>
      </c>
      <c r="E25" s="15" t="n">
        <f aca="false">IFERROR(SUMIFS(Mensual!T5:T100,Mensual!C5:C100,"*"&amp;B25&amp;"*")/COUNTIFS(Mensual!C5:C100,"*"&amp;B25&amp;"*"),0)</f>
        <v>0</v>
      </c>
      <c r="F25" s="15" t="n">
        <f aca="false">IFERROR(AVERAGE(C25:E25),0)</f>
        <v>0</v>
      </c>
      <c r="H25" s="12" t="s">
        <v>15</v>
      </c>
      <c r="I25" s="12" t="s">
        <v>16</v>
      </c>
    </row>
    <row r="26" customFormat="false" ht="19.5" hidden="false" customHeight="true" outlineLevel="0" collapsed="false">
      <c r="B26" s="14" t="s">
        <v>17</v>
      </c>
      <c r="C26" s="15" t="n">
        <f aca="false">IFERROR(SUMIFS(Diario!O5:O100,Diario!C5:C100,"*"&amp;B26&amp;"*")/COUNTIFS(Diario!C5:C100,"*"&amp;B26&amp;"*"),0)</f>
        <v>0</v>
      </c>
      <c r="D26" s="15" t="n">
        <f aca="false">IFERROR(SUMIFS(Semanal!L5:L100,Semanal!C5:C100,"*"&amp;B26&amp;"*")/COUNTIFS(Semanal!C5:C100,"*"&amp;B26&amp;"*"),0)</f>
        <v>0</v>
      </c>
      <c r="E26" s="15" t="n">
        <f aca="false">IFERROR(SUMIFS(Mensual!T5:T100,Mensual!C5:C100,"*"&amp;B26&amp;"*")/COUNTIFS(Mensual!C5:C100,"*"&amp;B26&amp;"*"),0)</f>
        <v>0</v>
      </c>
      <c r="F26" s="15" t="n">
        <f aca="false">IFERROR(AVERAGE(C26:E26),0)</f>
        <v>0</v>
      </c>
      <c r="H26" s="12" t="s">
        <v>4</v>
      </c>
      <c r="I26" s="16" t="n">
        <f aca="false">Diario!H1</f>
        <v>0</v>
      </c>
    </row>
    <row r="27" customFormat="false" ht="19.5" hidden="false" customHeight="true" outlineLevel="0" collapsed="false">
      <c r="B27" s="14" t="s">
        <v>18</v>
      </c>
      <c r="C27" s="15" t="n">
        <f aca="false">IFERROR(SUMIFS(Diario!O5:O100,Diario!C5:C100,"*"&amp;B27&amp;"*")/COUNTIFS(Diario!C5:C100,"*"&amp;B27&amp;"*"),0)</f>
        <v>0</v>
      </c>
      <c r="D27" s="15" t="n">
        <f aca="false">IFERROR(SUMIFS(Semanal!L5:L100,Semanal!C5:C100,"*"&amp;B27&amp;"*")/COUNTIFS(Semanal!C5:C100,"*"&amp;B27&amp;"*"),0)</f>
        <v>0</v>
      </c>
      <c r="E27" s="15" t="n">
        <f aca="false">IFERROR(SUMIFS(Mensual!T5:T100,Mensual!C5:C100,"*"&amp;B27&amp;"*")/COUNTIFS(Mensual!C5:C100,"*"&amp;B27&amp;"*"),0)</f>
        <v>0</v>
      </c>
      <c r="F27" s="15" t="n">
        <f aca="false">IFERROR(AVERAGE(C27:E27),0)</f>
        <v>0</v>
      </c>
      <c r="H27" s="12" t="s">
        <v>5</v>
      </c>
      <c r="I27" s="16" t="n">
        <f aca="false">Semanal!H1</f>
        <v>0</v>
      </c>
    </row>
    <row r="28" customFormat="false" ht="15" hidden="false" customHeight="false" outlineLevel="0" collapsed="false">
      <c r="H28" s="12" t="s">
        <v>6</v>
      </c>
      <c r="I28" s="16" t="n">
        <f aca="false">Mensual!H1</f>
        <v>0</v>
      </c>
    </row>
    <row r="49" customFormat="false" ht="15" hidden="false" customHeight="true" outlineLevel="0" collapsed="false">
      <c r="B49" s="5" t="s">
        <v>19</v>
      </c>
      <c r="C49" s="5"/>
      <c r="D49" s="5"/>
      <c r="E49" s="5"/>
      <c r="F49" s="5"/>
    </row>
  </sheetData>
  <mergeCells count="17">
    <mergeCell ref="B2:F4"/>
    <mergeCell ref="B5:F5"/>
    <mergeCell ref="B7:F7"/>
    <mergeCell ref="B8:F11"/>
    <mergeCell ref="B12:F12"/>
    <mergeCell ref="B14:F14"/>
    <mergeCell ref="B15:B17"/>
    <mergeCell ref="C15:C17"/>
    <mergeCell ref="D15:D17"/>
    <mergeCell ref="E15:E17"/>
    <mergeCell ref="F15:F17"/>
    <mergeCell ref="B18:C18"/>
    <mergeCell ref="D18:E18"/>
    <mergeCell ref="B19:C19"/>
    <mergeCell ref="D19:E19"/>
    <mergeCell ref="B21:F21"/>
    <mergeCell ref="B49:F49"/>
  </mergeCells>
  <conditionalFormatting sqref="F23">
    <cfRule type="cellIs" priority="2" operator="greaterThanOrEqual" aboveAverage="0" equalAverage="0" bottom="0" percent="0" rank="0" text="" dxfId="0">
      <formula>0.8</formula>
    </cfRule>
    <cfRule type="cellIs" priority="3" operator="between" aboveAverage="0" equalAverage="0" bottom="0" percent="0" rank="0" text="" dxfId="1">
      <formula>0.5</formula>
      <formula>0.7999</formula>
    </cfRule>
    <cfRule type="cellIs" priority="4" operator="lessThan" aboveAverage="0" equalAverage="0" bottom="0" percent="0" rank="0" text="" dxfId="2">
      <formula>0.5</formula>
    </cfRule>
  </conditionalFormatting>
  <conditionalFormatting sqref="F24">
    <cfRule type="cellIs" priority="5" operator="greaterThanOrEqual" aboveAverage="0" equalAverage="0" bottom="0" percent="0" rank="0" text="" dxfId="0">
      <formula>0.8</formula>
    </cfRule>
    <cfRule type="cellIs" priority="6" operator="between" aboveAverage="0" equalAverage="0" bottom="0" percent="0" rank="0" text="" dxfId="1">
      <formula>0.5</formula>
      <formula>0.7999</formula>
    </cfRule>
    <cfRule type="cellIs" priority="7" operator="lessThan" aboveAverage="0" equalAverage="0" bottom="0" percent="0" rank="0" text="" dxfId="2">
      <formula>0.5</formula>
    </cfRule>
  </conditionalFormatting>
  <conditionalFormatting sqref="F25">
    <cfRule type="cellIs" priority="8" operator="greaterThanOrEqual" aboveAverage="0" equalAverage="0" bottom="0" percent="0" rank="0" text="" dxfId="0">
      <formula>0.8</formula>
    </cfRule>
    <cfRule type="cellIs" priority="9" operator="between" aboveAverage="0" equalAverage="0" bottom="0" percent="0" rank="0" text="" dxfId="1">
      <formula>0.5</formula>
      <formula>0.7999</formula>
    </cfRule>
    <cfRule type="cellIs" priority="10" operator="lessThan" aboveAverage="0" equalAverage="0" bottom="0" percent="0" rank="0" text="" dxfId="2">
      <formula>0.5</formula>
    </cfRule>
  </conditionalFormatting>
  <conditionalFormatting sqref="F26">
    <cfRule type="cellIs" priority="11" operator="greaterThanOrEqual" aboveAverage="0" equalAverage="0" bottom="0" percent="0" rank="0" text="" dxfId="0">
      <formula>0.8</formula>
    </cfRule>
    <cfRule type="cellIs" priority="12" operator="between" aboveAverage="0" equalAverage="0" bottom="0" percent="0" rank="0" text="" dxfId="1">
      <formula>0.5</formula>
      <formula>0.7999</formula>
    </cfRule>
    <cfRule type="cellIs" priority="13" operator="lessThan" aboveAverage="0" equalAverage="0" bottom="0" percent="0" rank="0" text="" dxfId="2">
      <formula>0.5</formula>
    </cfRule>
  </conditionalFormatting>
  <conditionalFormatting sqref="F27">
    <cfRule type="cellIs" priority="14" operator="greaterThanOrEqual" aboveAverage="0" equalAverage="0" bottom="0" percent="0" rank="0" text="" dxfId="0">
      <formula>0.8</formula>
    </cfRule>
    <cfRule type="cellIs" priority="15" operator="between" aboveAverage="0" equalAverage="0" bottom="0" percent="0" rank="0" text="" dxfId="1">
      <formula>0.5</formula>
      <formula>0.7999</formula>
    </cfRule>
    <cfRule type="cellIs" priority="16" operator="lessThan" aboveAverage="0" equalAverage="0" bottom="0" percent="0" rank="0" text="" dxfId="2">
      <formula>0.5</formula>
    </cfRule>
  </conditionalFormatting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12" min="6" style="0" width="7"/>
    <col collapsed="false" customWidth="true" hidden="false" outlineLevel="0" max="13" min="13" style="0" width="13"/>
    <col collapsed="false" customWidth="true" hidden="false" outlineLevel="0" max="14" min="14" style="0" width="35"/>
    <col collapsed="false" customWidth="true" hidden="true" outlineLevel="0" max="15" min="15" style="0" width="13"/>
  </cols>
  <sheetData>
    <row r="1" customFormat="false" ht="17.35" hidden="false" customHeight="false" outlineLevel="0" collapsed="false">
      <c r="H1" s="17" t="n">
        <f aca="false">IFERROR(AVERAGE(M5:M18),0)</f>
        <v>0</v>
      </c>
    </row>
    <row r="2" customFormat="false" ht="25.5" hidden="false" customHeight="true" outlineLevel="0" collapsed="false">
      <c r="B2" s="1" t="s">
        <v>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8" hidden="false" customHeight="true" outlineLevel="0" collapsed="false">
      <c r="B3" s="18" t="s">
        <v>21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customFormat="false" ht="27.75" hidden="false" customHeight="true" outlineLevel="0" collapsed="false"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26</v>
      </c>
      <c r="G4" s="19" t="s">
        <v>27</v>
      </c>
      <c r="H4" s="19" t="s">
        <v>28</v>
      </c>
      <c r="I4" s="19" t="s">
        <v>29</v>
      </c>
      <c r="J4" s="19" t="s">
        <v>30</v>
      </c>
      <c r="K4" s="19" t="s">
        <v>31</v>
      </c>
      <c r="L4" s="19" t="s">
        <v>32</v>
      </c>
      <c r="M4" s="19" t="s">
        <v>33</v>
      </c>
      <c r="N4" s="19" t="s">
        <v>34</v>
      </c>
      <c r="O4" s="12" t="s">
        <v>35</v>
      </c>
    </row>
    <row r="5" customFormat="false" ht="31.5" hidden="false" customHeight="true" outlineLevel="0" collapsed="false">
      <c r="B5" s="20" t="n">
        <v>1</v>
      </c>
      <c r="C5" s="21" t="s">
        <v>11</v>
      </c>
      <c r="D5" s="14" t="s">
        <v>36</v>
      </c>
      <c r="E5" s="14" t="s">
        <v>37</v>
      </c>
      <c r="F5" s="20"/>
      <c r="G5" s="20"/>
      <c r="H5" s="20"/>
      <c r="I5" s="20"/>
      <c r="J5" s="20"/>
      <c r="K5" s="20"/>
      <c r="L5" s="20"/>
      <c r="M5" s="15" t="n">
        <f aca="false">IFERROR(COUNTIF(F5:L5,1)/COUNTA(F5:L5),0)</f>
        <v>0</v>
      </c>
      <c r="N5" s="14"/>
      <c r="O5" s="13" t="n">
        <f aca="false">M5</f>
        <v>0</v>
      </c>
    </row>
    <row r="6" customFormat="false" ht="31.5" hidden="false" customHeight="true" outlineLevel="0" collapsed="false">
      <c r="B6" s="22" t="n">
        <v>2</v>
      </c>
      <c r="C6" s="23" t="s">
        <v>11</v>
      </c>
      <c r="D6" s="24" t="s">
        <v>36</v>
      </c>
      <c r="E6" s="24" t="s">
        <v>38</v>
      </c>
      <c r="F6" s="22"/>
      <c r="G6" s="22"/>
      <c r="H6" s="22"/>
      <c r="I6" s="22"/>
      <c r="J6" s="22"/>
      <c r="K6" s="22"/>
      <c r="L6" s="22"/>
      <c r="M6" s="25" t="n">
        <f aca="false">IFERROR(COUNTIF(F6:L6,1)/COUNTA(F6:L6),0)</f>
        <v>0</v>
      </c>
      <c r="N6" s="24"/>
      <c r="O6" s="13" t="n">
        <f aca="false">M6</f>
        <v>0</v>
      </c>
    </row>
    <row r="7" customFormat="false" ht="31.5" hidden="false" customHeight="true" outlineLevel="0" collapsed="false">
      <c r="B7" s="20" t="n">
        <v>3</v>
      </c>
      <c r="C7" s="21" t="s">
        <v>11</v>
      </c>
      <c r="D7" s="14" t="s">
        <v>36</v>
      </c>
      <c r="E7" s="14" t="s">
        <v>39</v>
      </c>
      <c r="F7" s="20"/>
      <c r="G7" s="20"/>
      <c r="H7" s="20"/>
      <c r="I7" s="20"/>
      <c r="J7" s="20"/>
      <c r="K7" s="20"/>
      <c r="L7" s="20"/>
      <c r="M7" s="15" t="n">
        <f aca="false">IFERROR(COUNTIF(F7:L7,1)/COUNTA(F7:L7),0)</f>
        <v>0</v>
      </c>
      <c r="N7" s="14"/>
      <c r="O7" s="13" t="n">
        <f aca="false">M7</f>
        <v>0</v>
      </c>
    </row>
    <row r="8" customFormat="false" ht="31.5" hidden="false" customHeight="true" outlineLevel="0" collapsed="false">
      <c r="B8" s="22" t="n">
        <v>4</v>
      </c>
      <c r="C8" s="23" t="s">
        <v>11</v>
      </c>
      <c r="D8" s="24" t="s">
        <v>36</v>
      </c>
      <c r="E8" s="24" t="s">
        <v>40</v>
      </c>
      <c r="F8" s="22"/>
      <c r="G8" s="22"/>
      <c r="H8" s="22"/>
      <c r="I8" s="22"/>
      <c r="J8" s="22"/>
      <c r="K8" s="22"/>
      <c r="L8" s="22"/>
      <c r="M8" s="25" t="n">
        <f aca="false">IFERROR(COUNTIF(F8:L8,1)/COUNTA(F8:L8),0)</f>
        <v>0</v>
      </c>
      <c r="N8" s="24"/>
      <c r="O8" s="13" t="n">
        <f aca="false">M8</f>
        <v>0</v>
      </c>
    </row>
    <row r="9" customFormat="false" ht="31.5" hidden="false" customHeight="true" outlineLevel="0" collapsed="false">
      <c r="B9" s="20" t="n">
        <v>5</v>
      </c>
      <c r="C9" s="21" t="s">
        <v>13</v>
      </c>
      <c r="D9" s="14" t="s">
        <v>41</v>
      </c>
      <c r="E9" s="14" t="s">
        <v>42</v>
      </c>
      <c r="F9" s="20"/>
      <c r="G9" s="20"/>
      <c r="H9" s="20"/>
      <c r="I9" s="20"/>
      <c r="J9" s="20"/>
      <c r="K9" s="20"/>
      <c r="L9" s="20"/>
      <c r="M9" s="15" t="n">
        <f aca="false">IFERROR(COUNTIF(F9:L9,1)/COUNTA(F9:L9),0)</f>
        <v>0</v>
      </c>
      <c r="N9" s="14"/>
      <c r="O9" s="13" t="n">
        <f aca="false">M9</f>
        <v>0</v>
      </c>
    </row>
    <row r="10" customFormat="false" ht="31.5" hidden="false" customHeight="true" outlineLevel="0" collapsed="false">
      <c r="B10" s="22" t="n">
        <v>6</v>
      </c>
      <c r="C10" s="23" t="s">
        <v>13</v>
      </c>
      <c r="D10" s="24" t="s">
        <v>41</v>
      </c>
      <c r="E10" s="24" t="s">
        <v>43</v>
      </c>
      <c r="F10" s="22"/>
      <c r="G10" s="22"/>
      <c r="H10" s="22"/>
      <c r="I10" s="22"/>
      <c r="J10" s="22"/>
      <c r="K10" s="22"/>
      <c r="L10" s="22"/>
      <c r="M10" s="25" t="n">
        <f aca="false">IFERROR(COUNTIF(F10:L10,1)/COUNTA(F10:L10),0)</f>
        <v>0</v>
      </c>
      <c r="N10" s="24"/>
      <c r="O10" s="13" t="n">
        <f aca="false">M10</f>
        <v>0</v>
      </c>
    </row>
    <row r="11" customFormat="false" ht="31.5" hidden="false" customHeight="true" outlineLevel="0" collapsed="false">
      <c r="B11" s="20" t="n">
        <v>7</v>
      </c>
      <c r="C11" s="21" t="s">
        <v>13</v>
      </c>
      <c r="D11" s="14" t="s">
        <v>41</v>
      </c>
      <c r="E11" s="14" t="s">
        <v>44</v>
      </c>
      <c r="F11" s="20"/>
      <c r="G11" s="20"/>
      <c r="H11" s="20"/>
      <c r="I11" s="20"/>
      <c r="J11" s="20"/>
      <c r="K11" s="20"/>
      <c r="L11" s="20"/>
      <c r="M11" s="15" t="n">
        <f aca="false">IFERROR(COUNTIF(F11:L11,1)/COUNTA(F11:L11),0)</f>
        <v>0</v>
      </c>
      <c r="N11" s="14"/>
      <c r="O11" s="13" t="n">
        <f aca="false">M11</f>
        <v>0</v>
      </c>
    </row>
    <row r="12" customFormat="false" ht="31.5" hidden="false" customHeight="true" outlineLevel="0" collapsed="false">
      <c r="B12" s="22" t="n">
        <v>8</v>
      </c>
      <c r="C12" s="23" t="s">
        <v>13</v>
      </c>
      <c r="D12" s="24" t="s">
        <v>41</v>
      </c>
      <c r="E12" s="24" t="s">
        <v>45</v>
      </c>
      <c r="F12" s="22"/>
      <c r="G12" s="22"/>
      <c r="H12" s="22"/>
      <c r="I12" s="22"/>
      <c r="J12" s="22"/>
      <c r="K12" s="22"/>
      <c r="L12" s="22"/>
      <c r="M12" s="25" t="n">
        <f aca="false">IFERROR(COUNTIF(F12:L12,1)/COUNTA(F12:L12),0)</f>
        <v>0</v>
      </c>
      <c r="N12" s="24"/>
      <c r="O12" s="13" t="n">
        <f aca="false">M12</f>
        <v>0</v>
      </c>
    </row>
    <row r="13" customFormat="false" ht="31.5" hidden="false" customHeight="true" outlineLevel="0" collapsed="false">
      <c r="B13" s="20" t="n">
        <v>9</v>
      </c>
      <c r="C13" s="21" t="s">
        <v>14</v>
      </c>
      <c r="D13" s="14" t="s">
        <v>46</v>
      </c>
      <c r="E13" s="14" t="s">
        <v>47</v>
      </c>
      <c r="F13" s="20"/>
      <c r="G13" s="20"/>
      <c r="H13" s="20"/>
      <c r="I13" s="20"/>
      <c r="J13" s="20"/>
      <c r="K13" s="20"/>
      <c r="L13" s="20"/>
      <c r="M13" s="15" t="n">
        <f aca="false">IFERROR(COUNTIF(F13:L13,1)/COUNTA(F13:L13),0)</f>
        <v>0</v>
      </c>
      <c r="N13" s="14"/>
      <c r="O13" s="13" t="n">
        <f aca="false">M13</f>
        <v>0</v>
      </c>
    </row>
    <row r="14" customFormat="false" ht="31.5" hidden="false" customHeight="true" outlineLevel="0" collapsed="false">
      <c r="B14" s="22" t="n">
        <v>10</v>
      </c>
      <c r="C14" s="23" t="s">
        <v>14</v>
      </c>
      <c r="D14" s="24" t="s">
        <v>46</v>
      </c>
      <c r="E14" s="24" t="s">
        <v>48</v>
      </c>
      <c r="F14" s="22"/>
      <c r="G14" s="22"/>
      <c r="H14" s="22"/>
      <c r="I14" s="22"/>
      <c r="J14" s="22"/>
      <c r="K14" s="22"/>
      <c r="L14" s="22"/>
      <c r="M14" s="25" t="n">
        <f aca="false">IFERROR(COUNTIF(F14:L14,1)/COUNTA(F14:L14),0)</f>
        <v>0</v>
      </c>
      <c r="N14" s="24"/>
      <c r="O14" s="13" t="n">
        <f aca="false">M14</f>
        <v>0</v>
      </c>
    </row>
    <row r="15" customFormat="false" ht="31.5" hidden="false" customHeight="true" outlineLevel="0" collapsed="false">
      <c r="B15" s="20" t="n">
        <v>11</v>
      </c>
      <c r="C15" s="21" t="s">
        <v>17</v>
      </c>
      <c r="D15" s="14" t="s">
        <v>49</v>
      </c>
      <c r="E15" s="14" t="s">
        <v>50</v>
      </c>
      <c r="F15" s="20"/>
      <c r="G15" s="20"/>
      <c r="H15" s="20"/>
      <c r="I15" s="20"/>
      <c r="J15" s="20"/>
      <c r="K15" s="20"/>
      <c r="L15" s="20"/>
      <c r="M15" s="15" t="n">
        <f aca="false">IFERROR(COUNTIF(F15:L15,1)/COUNTA(F15:L15),0)</f>
        <v>0</v>
      </c>
      <c r="N15" s="14"/>
      <c r="O15" s="13" t="n">
        <f aca="false">M15</f>
        <v>0</v>
      </c>
    </row>
    <row r="16" customFormat="false" ht="31.5" hidden="false" customHeight="true" outlineLevel="0" collapsed="false">
      <c r="B16" s="22" t="n">
        <v>12</v>
      </c>
      <c r="C16" s="23" t="s">
        <v>17</v>
      </c>
      <c r="D16" s="24" t="s">
        <v>49</v>
      </c>
      <c r="E16" s="24" t="s">
        <v>51</v>
      </c>
      <c r="F16" s="22"/>
      <c r="G16" s="22"/>
      <c r="H16" s="22"/>
      <c r="I16" s="22"/>
      <c r="J16" s="22"/>
      <c r="K16" s="22"/>
      <c r="L16" s="22"/>
      <c r="M16" s="25" t="n">
        <f aca="false">IFERROR(COUNTIF(F16:L16,1)/COUNTA(F16:L16),0)</f>
        <v>0</v>
      </c>
      <c r="N16" s="24"/>
      <c r="O16" s="13" t="n">
        <f aca="false">M16</f>
        <v>0</v>
      </c>
    </row>
    <row r="17" customFormat="false" ht="31.5" hidden="false" customHeight="true" outlineLevel="0" collapsed="false">
      <c r="B17" s="20" t="n">
        <v>13</v>
      </c>
      <c r="C17" s="21" t="s">
        <v>18</v>
      </c>
      <c r="D17" s="14" t="s">
        <v>52</v>
      </c>
      <c r="E17" s="14" t="s">
        <v>53</v>
      </c>
      <c r="F17" s="20"/>
      <c r="G17" s="20"/>
      <c r="H17" s="20"/>
      <c r="I17" s="20"/>
      <c r="J17" s="20"/>
      <c r="K17" s="20"/>
      <c r="L17" s="20"/>
      <c r="M17" s="15" t="n">
        <f aca="false">IFERROR(COUNTIF(F17:L17,1)/COUNTA(F17:L17),0)</f>
        <v>0</v>
      </c>
      <c r="N17" s="14"/>
      <c r="O17" s="13" t="n">
        <f aca="false">M17</f>
        <v>0</v>
      </c>
    </row>
    <row r="18" customFormat="false" ht="31.5" hidden="false" customHeight="true" outlineLevel="0" collapsed="false">
      <c r="B18" s="22" t="n">
        <v>14</v>
      </c>
      <c r="C18" s="23" t="s">
        <v>18</v>
      </c>
      <c r="D18" s="24" t="s">
        <v>52</v>
      </c>
      <c r="E18" s="24" t="s">
        <v>54</v>
      </c>
      <c r="F18" s="22"/>
      <c r="G18" s="22"/>
      <c r="H18" s="22"/>
      <c r="I18" s="22"/>
      <c r="J18" s="22"/>
      <c r="K18" s="22"/>
      <c r="L18" s="22"/>
      <c r="M18" s="25" t="n">
        <f aca="false">IFERROR(COUNTIF(F18:L18,1)/COUNTA(F18:L18),0)</f>
        <v>0</v>
      </c>
      <c r="N18" s="24"/>
      <c r="O18" s="13" t="n">
        <f aca="false">M18</f>
        <v>0</v>
      </c>
    </row>
  </sheetData>
  <mergeCells count="2">
    <mergeCell ref="B2:M2"/>
    <mergeCell ref="B3:M3"/>
  </mergeCells>
  <conditionalFormatting sqref="F5:L18">
    <cfRule type="expression" priority="2" aboveAverage="0" equalAverage="0" bottom="0" percent="0" rank="0" text="" dxfId="0">
      <formula>AND(NOT(ISBLANK(F5)),F5=1)</formula>
    </cfRule>
    <cfRule type="expression" priority="3" aboveAverage="0" equalAverage="0" bottom="0" percent="0" rank="0" text="" dxfId="2">
      <formula>AND(NOT(ISBLANK(F5)),F5=0)</formula>
    </cfRule>
  </conditionalFormatting>
  <conditionalFormatting sqref="M5:M18">
    <cfRule type="cellIs" priority="4" operator="greaterThanOrEqual" aboveAverage="0" equalAverage="0" bottom="0" percent="0" rank="0" text="" dxfId="0">
      <formula>0.8</formula>
    </cfRule>
    <cfRule type="cellIs" priority="5" operator="between" aboveAverage="0" equalAverage="0" bottom="0" percent="0" rank="0" text="" dxfId="3">
      <formula>0.5</formula>
      <formula>0.7999</formula>
    </cfRule>
    <cfRule type="cellIs" priority="6" operator="lessThan" aboveAverage="0" equalAverage="0" bottom="0" percent="0" rank="0" text="" dxfId="2">
      <formula>0.5</formula>
    </cfRule>
  </conditionalFormatting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9" min="6" style="0" width="7"/>
    <col collapsed="false" customWidth="true" hidden="false" outlineLevel="0" max="10" min="10" style="0" width="13"/>
    <col collapsed="false" customWidth="true" hidden="false" outlineLevel="0" max="11" min="11" style="0" width="35"/>
    <col collapsed="false" customWidth="true" hidden="true" outlineLevel="0" max="12" min="12" style="0" width="13"/>
  </cols>
  <sheetData>
    <row r="1" customFormat="false" ht="17.35" hidden="false" customHeight="false" outlineLevel="0" collapsed="false">
      <c r="H1" s="17" t="n">
        <f aca="false">IFERROR(AVERAGE(J5:J15),0)</f>
        <v>0</v>
      </c>
    </row>
    <row r="2" customFormat="false" ht="25.5" hidden="false" customHeight="true" outlineLevel="0" collapsed="false">
      <c r="B2" s="1" t="s">
        <v>55</v>
      </c>
      <c r="C2" s="1"/>
      <c r="D2" s="1"/>
      <c r="E2" s="1"/>
      <c r="F2" s="1"/>
      <c r="G2" s="1"/>
      <c r="H2" s="1"/>
      <c r="I2" s="1"/>
      <c r="J2" s="1"/>
    </row>
    <row r="3" customFormat="false" ht="18" hidden="false" customHeight="true" outlineLevel="0" collapsed="false">
      <c r="B3" s="18" t="s">
        <v>21</v>
      </c>
      <c r="C3" s="18"/>
      <c r="D3" s="18"/>
      <c r="E3" s="18"/>
      <c r="F3" s="18"/>
      <c r="G3" s="18"/>
      <c r="H3" s="18"/>
      <c r="I3" s="18"/>
      <c r="J3" s="18"/>
    </row>
    <row r="4" customFormat="false" ht="27.75" hidden="false" customHeight="true" outlineLevel="0" collapsed="false">
      <c r="B4" s="19" t="s">
        <v>22</v>
      </c>
      <c r="C4" s="19" t="s">
        <v>23</v>
      </c>
      <c r="D4" s="19" t="s">
        <v>24</v>
      </c>
      <c r="E4" s="19" t="s">
        <v>25</v>
      </c>
      <c r="F4" s="19" t="s">
        <v>56</v>
      </c>
      <c r="G4" s="19" t="s">
        <v>57</v>
      </c>
      <c r="H4" s="19" t="s">
        <v>58</v>
      </c>
      <c r="I4" s="19" t="s">
        <v>59</v>
      </c>
      <c r="J4" s="19" t="s">
        <v>33</v>
      </c>
      <c r="K4" s="19" t="s">
        <v>34</v>
      </c>
      <c r="L4" s="12" t="s">
        <v>35</v>
      </c>
    </row>
    <row r="5" customFormat="false" ht="31.5" hidden="false" customHeight="true" outlineLevel="0" collapsed="false">
      <c r="B5" s="20" t="n">
        <v>1</v>
      </c>
      <c r="C5" s="21" t="s">
        <v>13</v>
      </c>
      <c r="D5" s="14" t="s">
        <v>41</v>
      </c>
      <c r="E5" s="14" t="s">
        <v>60</v>
      </c>
      <c r="F5" s="20"/>
      <c r="G5" s="20"/>
      <c r="H5" s="20"/>
      <c r="I5" s="20"/>
      <c r="J5" s="15" t="n">
        <f aca="false">IFERROR(COUNTIF(F5:I5,1)/COUNTA(F5:I5),0)</f>
        <v>0</v>
      </c>
      <c r="K5" s="14"/>
      <c r="L5" s="13" t="n">
        <f aca="false">J5</f>
        <v>0</v>
      </c>
    </row>
    <row r="6" customFormat="false" ht="31.5" hidden="false" customHeight="true" outlineLevel="0" collapsed="false">
      <c r="B6" s="22" t="n">
        <v>2</v>
      </c>
      <c r="C6" s="23" t="s">
        <v>13</v>
      </c>
      <c r="D6" s="24" t="s">
        <v>41</v>
      </c>
      <c r="E6" s="24" t="s">
        <v>61</v>
      </c>
      <c r="F6" s="22"/>
      <c r="G6" s="22"/>
      <c r="H6" s="22"/>
      <c r="I6" s="22"/>
      <c r="J6" s="25" t="n">
        <f aca="false">IFERROR(COUNTIF(F6:I6,1)/COUNTA(F6:I6),0)</f>
        <v>0</v>
      </c>
      <c r="K6" s="24"/>
      <c r="L6" s="13" t="n">
        <f aca="false">J6</f>
        <v>0</v>
      </c>
    </row>
    <row r="7" customFormat="false" ht="31.5" hidden="false" customHeight="true" outlineLevel="0" collapsed="false">
      <c r="B7" s="20" t="n">
        <v>3</v>
      </c>
      <c r="C7" s="21" t="s">
        <v>13</v>
      </c>
      <c r="D7" s="14" t="s">
        <v>41</v>
      </c>
      <c r="E7" s="14" t="s">
        <v>62</v>
      </c>
      <c r="F7" s="20"/>
      <c r="G7" s="20"/>
      <c r="H7" s="20"/>
      <c r="I7" s="20"/>
      <c r="J7" s="15" t="n">
        <f aca="false">IFERROR(COUNTIF(F7:I7,1)/COUNTA(F7:I7),0)</f>
        <v>0</v>
      </c>
      <c r="K7" s="14"/>
      <c r="L7" s="13" t="n">
        <f aca="false">J7</f>
        <v>0</v>
      </c>
    </row>
    <row r="8" customFormat="false" ht="31.5" hidden="false" customHeight="true" outlineLevel="0" collapsed="false">
      <c r="B8" s="22" t="n">
        <v>4</v>
      </c>
      <c r="C8" s="23" t="s">
        <v>14</v>
      </c>
      <c r="D8" s="24" t="s">
        <v>46</v>
      </c>
      <c r="E8" s="24" t="s">
        <v>63</v>
      </c>
      <c r="F8" s="22"/>
      <c r="G8" s="22"/>
      <c r="H8" s="22"/>
      <c r="I8" s="22"/>
      <c r="J8" s="25" t="n">
        <f aca="false">IFERROR(COUNTIF(F8:I8,1)/COUNTA(F8:I8),0)</f>
        <v>0</v>
      </c>
      <c r="K8" s="24"/>
      <c r="L8" s="13" t="n">
        <f aca="false">J8</f>
        <v>0</v>
      </c>
    </row>
    <row r="9" customFormat="false" ht="31.5" hidden="false" customHeight="true" outlineLevel="0" collapsed="false">
      <c r="B9" s="20" t="n">
        <v>5</v>
      </c>
      <c r="C9" s="21" t="s">
        <v>14</v>
      </c>
      <c r="D9" s="14" t="s">
        <v>46</v>
      </c>
      <c r="E9" s="14" t="s">
        <v>64</v>
      </c>
      <c r="F9" s="20"/>
      <c r="G9" s="20"/>
      <c r="H9" s="20"/>
      <c r="I9" s="20"/>
      <c r="J9" s="15" t="n">
        <f aca="false">IFERROR(COUNTIF(F9:I9,1)/COUNTA(F9:I9),0)</f>
        <v>0</v>
      </c>
      <c r="K9" s="14"/>
      <c r="L9" s="13" t="n">
        <f aca="false">J9</f>
        <v>0</v>
      </c>
    </row>
    <row r="10" customFormat="false" ht="31.5" hidden="false" customHeight="true" outlineLevel="0" collapsed="false">
      <c r="B10" s="22" t="n">
        <v>6</v>
      </c>
      <c r="C10" s="23" t="s">
        <v>65</v>
      </c>
      <c r="D10" s="24" t="s">
        <v>66</v>
      </c>
      <c r="E10" s="24" t="s">
        <v>67</v>
      </c>
      <c r="F10" s="22"/>
      <c r="G10" s="22"/>
      <c r="H10" s="22"/>
      <c r="I10" s="22"/>
      <c r="J10" s="25" t="n">
        <f aca="false">IFERROR(COUNTIF(F10:I10,1)/COUNTA(F10:I10),0)</f>
        <v>0</v>
      </c>
      <c r="K10" s="24"/>
      <c r="L10" s="13" t="n">
        <f aca="false">J10</f>
        <v>0</v>
      </c>
    </row>
    <row r="11" customFormat="false" ht="31.5" hidden="false" customHeight="true" outlineLevel="0" collapsed="false">
      <c r="B11" s="20" t="n">
        <v>7</v>
      </c>
      <c r="C11" s="21" t="s">
        <v>65</v>
      </c>
      <c r="D11" s="14" t="s">
        <v>68</v>
      </c>
      <c r="E11" s="14" t="s">
        <v>69</v>
      </c>
      <c r="F11" s="20"/>
      <c r="G11" s="20"/>
      <c r="H11" s="20"/>
      <c r="I11" s="20"/>
      <c r="J11" s="15" t="n">
        <f aca="false">IFERROR(COUNTIF(F11:I11,1)/COUNTA(F11:I11),0)</f>
        <v>0</v>
      </c>
      <c r="K11" s="14"/>
      <c r="L11" s="13" t="n">
        <f aca="false">J11</f>
        <v>0</v>
      </c>
    </row>
    <row r="12" customFormat="false" ht="31.5" hidden="false" customHeight="true" outlineLevel="0" collapsed="false">
      <c r="B12" s="22" t="n">
        <v>8</v>
      </c>
      <c r="C12" s="23" t="s">
        <v>11</v>
      </c>
      <c r="D12" s="24" t="s">
        <v>70</v>
      </c>
      <c r="E12" s="24" t="s">
        <v>71</v>
      </c>
      <c r="F12" s="22"/>
      <c r="G12" s="22"/>
      <c r="H12" s="22"/>
      <c r="I12" s="22"/>
      <c r="J12" s="25" t="n">
        <f aca="false">IFERROR(COUNTIF(F12:I12,1)/COUNTA(F12:I12),0)</f>
        <v>0</v>
      </c>
      <c r="K12" s="24"/>
      <c r="L12" s="13" t="n">
        <f aca="false">J12</f>
        <v>0</v>
      </c>
    </row>
    <row r="13" customFormat="false" ht="31.5" hidden="false" customHeight="true" outlineLevel="0" collapsed="false">
      <c r="B13" s="20" t="n">
        <v>9</v>
      </c>
      <c r="C13" s="21" t="s">
        <v>17</v>
      </c>
      <c r="D13" s="14" t="s">
        <v>68</v>
      </c>
      <c r="E13" s="14" t="s">
        <v>72</v>
      </c>
      <c r="F13" s="20"/>
      <c r="G13" s="20"/>
      <c r="H13" s="20"/>
      <c r="I13" s="20"/>
      <c r="J13" s="15" t="n">
        <f aca="false">IFERROR(COUNTIF(F13:I13,1)/COUNTA(F13:I13),0)</f>
        <v>0</v>
      </c>
      <c r="K13" s="14"/>
      <c r="L13" s="13" t="n">
        <f aca="false">J13</f>
        <v>0</v>
      </c>
    </row>
    <row r="14" customFormat="false" ht="31.5" hidden="false" customHeight="true" outlineLevel="0" collapsed="false">
      <c r="B14" s="22" t="n">
        <v>10</v>
      </c>
      <c r="C14" s="23" t="s">
        <v>18</v>
      </c>
      <c r="D14" s="24" t="s">
        <v>52</v>
      </c>
      <c r="E14" s="24" t="s">
        <v>73</v>
      </c>
      <c r="F14" s="22"/>
      <c r="G14" s="22"/>
      <c r="H14" s="22"/>
      <c r="I14" s="22"/>
      <c r="J14" s="25" t="n">
        <f aca="false">IFERROR(COUNTIF(F14:I14,1)/COUNTA(F14:I14),0)</f>
        <v>0</v>
      </c>
      <c r="K14" s="24"/>
      <c r="L14" s="13" t="n">
        <f aca="false">J14</f>
        <v>0</v>
      </c>
    </row>
    <row r="15" customFormat="false" ht="31.5" hidden="false" customHeight="true" outlineLevel="0" collapsed="false">
      <c r="B15" s="20" t="n">
        <v>11</v>
      </c>
      <c r="C15" s="21" t="s">
        <v>18</v>
      </c>
      <c r="D15" s="14" t="s">
        <v>52</v>
      </c>
      <c r="E15" s="14" t="s">
        <v>74</v>
      </c>
      <c r="F15" s="20"/>
      <c r="G15" s="20"/>
      <c r="H15" s="20"/>
      <c r="I15" s="20"/>
      <c r="J15" s="15" t="n">
        <f aca="false">IFERROR(COUNTIF(F15:I15,1)/COUNTA(F15:I15),0)</f>
        <v>0</v>
      </c>
      <c r="K15" s="14"/>
      <c r="L15" s="13" t="n">
        <f aca="false">J15</f>
        <v>0</v>
      </c>
    </row>
  </sheetData>
  <mergeCells count="2">
    <mergeCell ref="B2:J2"/>
    <mergeCell ref="B3:J3"/>
  </mergeCells>
  <conditionalFormatting sqref="F5:I15">
    <cfRule type="expression" priority="2" aboveAverage="0" equalAverage="0" bottom="0" percent="0" rank="0" text="" dxfId="0">
      <formula>AND(NOT(ISBLANK(F5)),F5=1)</formula>
    </cfRule>
    <cfRule type="expression" priority="3" aboveAverage="0" equalAverage="0" bottom="0" percent="0" rank="0" text="" dxfId="2">
      <formula>AND(NOT(ISBLANK(F5)),F5=0)</formula>
    </cfRule>
  </conditionalFormatting>
  <conditionalFormatting sqref="J5:J15">
    <cfRule type="cellIs" priority="4" operator="greaterThanOrEqual" aboveAverage="0" equalAverage="0" bottom="0" percent="0" rank="0" text="" dxfId="0">
      <formula>0.8</formula>
    </cfRule>
    <cfRule type="cellIs" priority="5" operator="between" aboveAverage="0" equalAverage="0" bottom="0" percent="0" rank="0" text="" dxfId="3">
      <formula>0.5</formula>
      <formula>0.7999</formula>
    </cfRule>
    <cfRule type="cellIs" priority="6" operator="lessThan" aboveAverage="0" equalAverage="0" bottom="0" percent="0" rank="0" text="" dxfId="2">
      <formula>0.5</formula>
    </cfRule>
  </conditionalFormatting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T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17" min="6" style="0" width="7"/>
    <col collapsed="false" customWidth="true" hidden="false" outlineLevel="0" max="18" min="18" style="0" width="13"/>
    <col collapsed="false" customWidth="true" hidden="false" outlineLevel="0" max="19" min="19" style="0" width="35"/>
    <col collapsed="false" customWidth="true" hidden="true" outlineLevel="0" max="20" min="20" style="0" width="13"/>
  </cols>
  <sheetData>
    <row r="1" customFormat="false" ht="17.35" hidden="false" customHeight="false" outlineLevel="0" collapsed="false">
      <c r="H1" s="17" t="n">
        <f aca="false">IFERROR(AVERAGE(R5:R15),0)</f>
        <v>0</v>
      </c>
    </row>
    <row r="2" customFormat="false" ht="25.5" hidden="false" customHeight="true" outlineLevel="0" collapsed="false">
      <c r="B2" s="1" t="s">
        <v>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8" hidden="false" customHeight="true" outlineLevel="0" collapsed="false">
      <c r="B3" s="18" t="s">
        <v>21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customFormat="false" ht="27.75" hidden="false" customHeight="true" outlineLevel="0" collapsed="false">
      <c r="B4" s="19" t="s">
        <v>22</v>
      </c>
      <c r="C4" s="19" t="s">
        <v>23</v>
      </c>
      <c r="D4" s="19" t="s">
        <v>24</v>
      </c>
      <c r="E4" s="19" t="s">
        <v>25</v>
      </c>
      <c r="F4" s="19" t="s">
        <v>76</v>
      </c>
      <c r="G4" s="19" t="s">
        <v>77</v>
      </c>
      <c r="H4" s="19" t="s">
        <v>27</v>
      </c>
      <c r="I4" s="19" t="s">
        <v>78</v>
      </c>
      <c r="J4" s="19" t="s">
        <v>79</v>
      </c>
      <c r="K4" s="19" t="s">
        <v>80</v>
      </c>
      <c r="L4" s="19" t="s">
        <v>81</v>
      </c>
      <c r="M4" s="19" t="s">
        <v>82</v>
      </c>
      <c r="N4" s="19" t="s">
        <v>83</v>
      </c>
      <c r="O4" s="19" t="s">
        <v>84</v>
      </c>
      <c r="P4" s="19" t="s">
        <v>85</v>
      </c>
      <c r="Q4" s="19" t="s">
        <v>86</v>
      </c>
      <c r="R4" s="19" t="s">
        <v>33</v>
      </c>
      <c r="S4" s="19" t="s">
        <v>34</v>
      </c>
      <c r="T4" s="12" t="s">
        <v>35</v>
      </c>
    </row>
    <row r="5" customFormat="false" ht="31.5" hidden="false" customHeight="true" outlineLevel="0" collapsed="false">
      <c r="B5" s="20" t="n">
        <v>1</v>
      </c>
      <c r="C5" s="21" t="s">
        <v>13</v>
      </c>
      <c r="D5" s="14" t="s">
        <v>41</v>
      </c>
      <c r="E5" s="14" t="s">
        <v>87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5" t="n">
        <f aca="false">IFERROR(COUNTIF(F5:Q5,1)/COUNTA(F5:Q5),0)</f>
        <v>0</v>
      </c>
      <c r="S5" s="14"/>
      <c r="T5" s="13" t="n">
        <f aca="false">R5</f>
        <v>0</v>
      </c>
    </row>
    <row r="6" customFormat="false" ht="31.5" hidden="false" customHeight="true" outlineLevel="0" collapsed="false">
      <c r="B6" s="22" t="n">
        <v>2</v>
      </c>
      <c r="C6" s="23" t="s">
        <v>13</v>
      </c>
      <c r="D6" s="24" t="s">
        <v>88</v>
      </c>
      <c r="E6" s="24" t="s">
        <v>89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5" t="n">
        <f aca="false">IFERROR(COUNTIF(F6:Q6,1)/COUNTA(F6:Q6),0)</f>
        <v>0</v>
      </c>
      <c r="S6" s="24"/>
      <c r="T6" s="13" t="n">
        <f aca="false">R6</f>
        <v>0</v>
      </c>
    </row>
    <row r="7" customFormat="false" ht="31.5" hidden="false" customHeight="true" outlineLevel="0" collapsed="false">
      <c r="B7" s="20" t="n">
        <v>3</v>
      </c>
      <c r="C7" s="21" t="s">
        <v>14</v>
      </c>
      <c r="D7" s="14" t="s">
        <v>90</v>
      </c>
      <c r="E7" s="14" t="s">
        <v>91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5" t="n">
        <f aca="false">IFERROR(COUNTIF(F7:Q7,1)/COUNTA(F7:Q7),0)</f>
        <v>0</v>
      </c>
      <c r="S7" s="14"/>
      <c r="T7" s="13" t="n">
        <f aca="false">R7</f>
        <v>0</v>
      </c>
    </row>
    <row r="8" customFormat="false" ht="31.5" hidden="false" customHeight="true" outlineLevel="0" collapsed="false">
      <c r="B8" s="22" t="n">
        <v>4</v>
      </c>
      <c r="C8" s="23" t="s">
        <v>14</v>
      </c>
      <c r="D8" s="24" t="s">
        <v>46</v>
      </c>
      <c r="E8" s="24" t="s">
        <v>92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5" t="n">
        <f aca="false">IFERROR(COUNTIF(F8:Q8,1)/COUNTA(F8:Q8),0)</f>
        <v>0</v>
      </c>
      <c r="S8" s="24"/>
      <c r="T8" s="13" t="n">
        <f aca="false">R8</f>
        <v>0</v>
      </c>
    </row>
    <row r="9" customFormat="false" ht="31.5" hidden="false" customHeight="true" outlineLevel="0" collapsed="false">
      <c r="B9" s="20" t="n">
        <v>5</v>
      </c>
      <c r="C9" s="21" t="s">
        <v>93</v>
      </c>
      <c r="D9" s="14" t="s">
        <v>94</v>
      </c>
      <c r="E9" s="14" t="s">
        <v>95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5" t="n">
        <f aca="false">IFERROR(COUNTIF(F9:Q9,1)/COUNTA(F9:Q9),0)</f>
        <v>0</v>
      </c>
      <c r="S9" s="14"/>
      <c r="T9" s="13" t="n">
        <f aca="false">R9</f>
        <v>0</v>
      </c>
    </row>
    <row r="10" customFormat="false" ht="31.5" hidden="false" customHeight="true" outlineLevel="0" collapsed="false">
      <c r="B10" s="22" t="n">
        <v>6</v>
      </c>
      <c r="C10" s="23" t="s">
        <v>93</v>
      </c>
      <c r="D10" s="24" t="s">
        <v>70</v>
      </c>
      <c r="E10" s="24" t="s">
        <v>96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5" t="n">
        <f aca="false">IFERROR(COUNTIF(F10:Q10,1)/COUNTA(F10:Q10),0)</f>
        <v>0</v>
      </c>
      <c r="S10" s="24"/>
      <c r="T10" s="13" t="n">
        <f aca="false">R10</f>
        <v>0</v>
      </c>
    </row>
    <row r="11" customFormat="false" ht="31.5" hidden="false" customHeight="true" outlineLevel="0" collapsed="false">
      <c r="B11" s="20" t="n">
        <v>7</v>
      </c>
      <c r="C11" s="21" t="s">
        <v>17</v>
      </c>
      <c r="D11" s="14" t="s">
        <v>68</v>
      </c>
      <c r="E11" s="14" t="s">
        <v>97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5" t="n">
        <f aca="false">IFERROR(COUNTIF(F11:Q11,1)/COUNTA(F11:Q11),0)</f>
        <v>0</v>
      </c>
      <c r="S11" s="14"/>
      <c r="T11" s="13" t="n">
        <f aca="false">R11</f>
        <v>0</v>
      </c>
    </row>
    <row r="12" customFormat="false" ht="31.5" hidden="false" customHeight="true" outlineLevel="0" collapsed="false">
      <c r="B12" s="22" t="n">
        <v>8</v>
      </c>
      <c r="C12" s="23" t="s">
        <v>17</v>
      </c>
      <c r="D12" s="24" t="s">
        <v>68</v>
      </c>
      <c r="E12" s="24" t="s">
        <v>98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5" t="n">
        <f aca="false">IFERROR(COUNTIF(F12:Q12,1)/COUNTA(F12:Q12),0)</f>
        <v>0</v>
      </c>
      <c r="S12" s="24"/>
      <c r="T12" s="13" t="n">
        <f aca="false">R12</f>
        <v>0</v>
      </c>
    </row>
    <row r="13" customFormat="false" ht="31.5" hidden="false" customHeight="true" outlineLevel="0" collapsed="false">
      <c r="B13" s="20" t="n">
        <v>9</v>
      </c>
      <c r="C13" s="21" t="s">
        <v>18</v>
      </c>
      <c r="D13" s="14" t="s">
        <v>52</v>
      </c>
      <c r="E13" s="14" t="s">
        <v>99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5" t="n">
        <f aca="false">IFERROR(COUNTIF(F13:Q13,1)/COUNTA(F13:Q13),0)</f>
        <v>0</v>
      </c>
      <c r="S13" s="14"/>
      <c r="T13" s="13" t="n">
        <f aca="false">R13</f>
        <v>0</v>
      </c>
    </row>
    <row r="14" customFormat="false" ht="31.5" hidden="false" customHeight="true" outlineLevel="0" collapsed="false">
      <c r="B14" s="22" t="n">
        <v>10</v>
      </c>
      <c r="C14" s="23" t="s">
        <v>18</v>
      </c>
      <c r="D14" s="24" t="s">
        <v>52</v>
      </c>
      <c r="E14" s="24" t="s">
        <v>100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5" t="n">
        <f aca="false">IFERROR(COUNTIF(F14:Q14,1)/COUNTA(F14:Q14),0)</f>
        <v>0</v>
      </c>
      <c r="S14" s="24"/>
      <c r="T14" s="13" t="n">
        <f aca="false">R14</f>
        <v>0</v>
      </c>
    </row>
    <row r="15" customFormat="false" ht="31.5" hidden="false" customHeight="true" outlineLevel="0" collapsed="false">
      <c r="B15" s="20" t="n">
        <v>11</v>
      </c>
      <c r="C15" s="21" t="s">
        <v>18</v>
      </c>
      <c r="D15" s="14" t="s">
        <v>52</v>
      </c>
      <c r="E15" s="14" t="s">
        <v>101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5" t="n">
        <f aca="false">IFERROR(COUNTIF(F15:Q15,1)/COUNTA(F15:Q15),0)</f>
        <v>0</v>
      </c>
      <c r="S15" s="14"/>
      <c r="T15" s="13" t="n">
        <f aca="false">R15</f>
        <v>0</v>
      </c>
    </row>
  </sheetData>
  <mergeCells count="2">
    <mergeCell ref="B2:R2"/>
    <mergeCell ref="B3:R3"/>
  </mergeCells>
  <conditionalFormatting sqref="F5:Q15">
    <cfRule type="expression" priority="2" aboveAverage="0" equalAverage="0" bottom="0" percent="0" rank="0" text="" dxfId="0">
      <formula>AND(NOT(ISBLANK(F5)),F5=1)</formula>
    </cfRule>
    <cfRule type="expression" priority="3" aboveAverage="0" equalAverage="0" bottom="0" percent="0" rank="0" text="" dxfId="2">
      <formula>AND(NOT(ISBLANK(F5)),F5=0)</formula>
    </cfRule>
  </conditionalFormatting>
  <conditionalFormatting sqref="R5:R15">
    <cfRule type="cellIs" priority="4" operator="greaterThanOrEqual" aboveAverage="0" equalAverage="0" bottom="0" percent="0" rank="0" text="" dxfId="0">
      <formula>0.8</formula>
    </cfRule>
    <cfRule type="cellIs" priority="5" operator="between" aboveAverage="0" equalAverage="0" bottom="0" percent="0" rank="0" text="" dxfId="3">
      <formula>0.5</formula>
      <formula>0.7999</formula>
    </cfRule>
    <cfRule type="cellIs" priority="6" operator="lessThan" aboveAverage="0" equalAverage="0" bottom="0" percent="0" rank="0" text="" dxfId="2">
      <formula>0.5</formula>
    </cfRule>
  </conditionalFormatting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50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12"/>
  </cols>
  <sheetData>
    <row r="2" customFormat="false" ht="25.5" hidden="false" customHeight="true" outlineLevel="0" collapsed="false">
      <c r="B2" s="1" t="s">
        <v>102</v>
      </c>
      <c r="C2" s="1"/>
      <c r="D2" s="1"/>
      <c r="E2" s="1"/>
      <c r="F2" s="1"/>
      <c r="G2" s="1"/>
      <c r="H2" s="1"/>
      <c r="I2" s="1"/>
    </row>
    <row r="3" customFormat="false" ht="18" hidden="false" customHeight="true" outlineLevel="0" collapsed="false">
      <c r="B3" s="18" t="s">
        <v>103</v>
      </c>
      <c r="C3" s="18"/>
      <c r="D3" s="18"/>
      <c r="E3" s="18"/>
      <c r="F3" s="18"/>
      <c r="G3" s="18"/>
      <c r="H3" s="18"/>
      <c r="I3" s="18"/>
    </row>
    <row r="4" customFormat="false" ht="25.5" hidden="false" customHeight="true" outlineLevel="0" collapsed="false">
      <c r="B4" s="19" t="s">
        <v>22</v>
      </c>
      <c r="C4" s="19" t="s">
        <v>104</v>
      </c>
      <c r="D4" s="19" t="s">
        <v>23</v>
      </c>
      <c r="E4" s="19" t="s">
        <v>24</v>
      </c>
      <c r="F4" s="19" t="s">
        <v>105</v>
      </c>
      <c r="G4" s="19" t="s">
        <v>106</v>
      </c>
      <c r="H4" s="19" t="s">
        <v>107</v>
      </c>
      <c r="I4" s="19" t="s">
        <v>108</v>
      </c>
    </row>
    <row r="5" customFormat="false" ht="21.75" hidden="false" customHeight="true" outlineLevel="0" collapsed="false">
      <c r="B5" s="20" t="n">
        <v>1</v>
      </c>
      <c r="C5" s="20"/>
      <c r="D5" s="14"/>
      <c r="E5" s="14"/>
      <c r="F5" s="14"/>
      <c r="G5" s="14"/>
      <c r="H5" s="20"/>
      <c r="I5" s="20"/>
    </row>
    <row r="6" customFormat="false" ht="21.75" hidden="false" customHeight="true" outlineLevel="0" collapsed="false">
      <c r="B6" s="22" t="n">
        <v>2</v>
      </c>
      <c r="C6" s="22"/>
      <c r="D6" s="24"/>
      <c r="E6" s="24"/>
      <c r="F6" s="24"/>
      <c r="G6" s="24"/>
      <c r="H6" s="22"/>
      <c r="I6" s="22"/>
    </row>
    <row r="7" customFormat="false" ht="21.75" hidden="false" customHeight="true" outlineLevel="0" collapsed="false">
      <c r="B7" s="20" t="n">
        <v>3</v>
      </c>
      <c r="C7" s="20"/>
      <c r="D7" s="14"/>
      <c r="E7" s="14"/>
      <c r="F7" s="14"/>
      <c r="G7" s="14"/>
      <c r="H7" s="20"/>
      <c r="I7" s="20"/>
    </row>
    <row r="8" customFormat="false" ht="21.75" hidden="false" customHeight="true" outlineLevel="0" collapsed="false">
      <c r="B8" s="22" t="n">
        <v>4</v>
      </c>
      <c r="C8" s="22"/>
      <c r="D8" s="24"/>
      <c r="E8" s="24"/>
      <c r="F8" s="24"/>
      <c r="G8" s="24"/>
      <c r="H8" s="22"/>
      <c r="I8" s="22"/>
    </row>
    <row r="9" customFormat="false" ht="21.75" hidden="false" customHeight="true" outlineLevel="0" collapsed="false">
      <c r="B9" s="20" t="n">
        <v>5</v>
      </c>
      <c r="C9" s="20"/>
      <c r="D9" s="14"/>
      <c r="E9" s="14"/>
      <c r="F9" s="14"/>
      <c r="G9" s="14"/>
      <c r="H9" s="20"/>
      <c r="I9" s="20"/>
    </row>
    <row r="10" customFormat="false" ht="21.75" hidden="false" customHeight="true" outlineLevel="0" collapsed="false">
      <c r="B10" s="22" t="n">
        <v>6</v>
      </c>
      <c r="C10" s="22"/>
      <c r="D10" s="24"/>
      <c r="E10" s="24"/>
      <c r="F10" s="24"/>
      <c r="G10" s="24"/>
      <c r="H10" s="22"/>
      <c r="I10" s="22"/>
    </row>
    <row r="11" customFormat="false" ht="21.75" hidden="false" customHeight="true" outlineLevel="0" collapsed="false">
      <c r="B11" s="20" t="n">
        <v>7</v>
      </c>
      <c r="C11" s="20"/>
      <c r="D11" s="14"/>
      <c r="E11" s="14"/>
      <c r="F11" s="14"/>
      <c r="G11" s="14"/>
      <c r="H11" s="20"/>
      <c r="I11" s="20"/>
    </row>
    <row r="12" customFormat="false" ht="21.75" hidden="false" customHeight="true" outlineLevel="0" collapsed="false">
      <c r="B12" s="22" t="n">
        <v>8</v>
      </c>
      <c r="C12" s="22"/>
      <c r="D12" s="24"/>
      <c r="E12" s="24"/>
      <c r="F12" s="24"/>
      <c r="G12" s="24"/>
      <c r="H12" s="22"/>
      <c r="I12" s="22"/>
    </row>
    <row r="13" customFormat="false" ht="21.75" hidden="false" customHeight="true" outlineLevel="0" collapsed="false">
      <c r="B13" s="20" t="n">
        <v>9</v>
      </c>
      <c r="C13" s="20"/>
      <c r="D13" s="14"/>
      <c r="E13" s="14"/>
      <c r="F13" s="14"/>
      <c r="G13" s="14"/>
      <c r="H13" s="20"/>
      <c r="I13" s="20"/>
    </row>
    <row r="14" customFormat="false" ht="21.75" hidden="false" customHeight="true" outlineLevel="0" collapsed="false">
      <c r="B14" s="22" t="n">
        <v>10</v>
      </c>
      <c r="C14" s="22"/>
      <c r="D14" s="24"/>
      <c r="E14" s="24"/>
      <c r="F14" s="24"/>
      <c r="G14" s="24"/>
      <c r="H14" s="22"/>
      <c r="I14" s="22"/>
    </row>
    <row r="15" customFormat="false" ht="21.75" hidden="false" customHeight="true" outlineLevel="0" collapsed="false">
      <c r="B15" s="20" t="n">
        <v>11</v>
      </c>
      <c r="C15" s="20"/>
      <c r="D15" s="14"/>
      <c r="E15" s="14"/>
      <c r="F15" s="14"/>
      <c r="G15" s="14"/>
      <c r="H15" s="20"/>
      <c r="I15" s="20"/>
    </row>
    <row r="16" customFormat="false" ht="21.75" hidden="false" customHeight="true" outlineLevel="0" collapsed="false">
      <c r="B16" s="22" t="n">
        <v>12</v>
      </c>
      <c r="C16" s="22"/>
      <c r="D16" s="24"/>
      <c r="E16" s="24"/>
      <c r="F16" s="24"/>
      <c r="G16" s="24"/>
      <c r="H16" s="22"/>
      <c r="I16" s="22"/>
    </row>
    <row r="17" customFormat="false" ht="21.75" hidden="false" customHeight="true" outlineLevel="0" collapsed="false">
      <c r="B17" s="20" t="n">
        <v>13</v>
      </c>
      <c r="C17" s="20"/>
      <c r="D17" s="14"/>
      <c r="E17" s="14"/>
      <c r="F17" s="14"/>
      <c r="G17" s="14"/>
      <c r="H17" s="20"/>
      <c r="I17" s="20"/>
    </row>
    <row r="18" customFormat="false" ht="21.75" hidden="false" customHeight="true" outlineLevel="0" collapsed="false">
      <c r="B18" s="22" t="n">
        <v>14</v>
      </c>
      <c r="C18" s="22"/>
      <c r="D18" s="24"/>
      <c r="E18" s="24"/>
      <c r="F18" s="24"/>
      <c r="G18" s="24"/>
      <c r="H18" s="22"/>
      <c r="I18" s="22"/>
    </row>
    <row r="19" customFormat="false" ht="21.75" hidden="false" customHeight="true" outlineLevel="0" collapsed="false">
      <c r="B19" s="20" t="n">
        <v>15</v>
      </c>
      <c r="C19" s="20"/>
      <c r="D19" s="14"/>
      <c r="E19" s="14"/>
      <c r="F19" s="14"/>
      <c r="G19" s="14"/>
      <c r="H19" s="20"/>
      <c r="I19" s="20"/>
    </row>
    <row r="20" customFormat="false" ht="21.75" hidden="false" customHeight="true" outlineLevel="0" collapsed="false">
      <c r="B20" s="22" t="n">
        <v>16</v>
      </c>
      <c r="C20" s="22"/>
      <c r="D20" s="24"/>
      <c r="E20" s="24"/>
      <c r="F20" s="24"/>
      <c r="G20" s="24"/>
      <c r="H20" s="22"/>
      <c r="I20" s="22"/>
    </row>
    <row r="21" customFormat="false" ht="21.75" hidden="false" customHeight="true" outlineLevel="0" collapsed="false">
      <c r="B21" s="20" t="n">
        <v>17</v>
      </c>
      <c r="C21" s="20"/>
      <c r="D21" s="14"/>
      <c r="E21" s="14"/>
      <c r="F21" s="14"/>
      <c r="G21" s="14"/>
      <c r="H21" s="20"/>
      <c r="I21" s="20"/>
    </row>
    <row r="22" customFormat="false" ht="21.75" hidden="false" customHeight="true" outlineLevel="0" collapsed="false">
      <c r="B22" s="22" t="n">
        <v>18</v>
      </c>
      <c r="C22" s="22"/>
      <c r="D22" s="24"/>
      <c r="E22" s="24"/>
      <c r="F22" s="24"/>
      <c r="G22" s="24"/>
      <c r="H22" s="22"/>
      <c r="I22" s="22"/>
    </row>
    <row r="23" customFormat="false" ht="21.75" hidden="false" customHeight="true" outlineLevel="0" collapsed="false">
      <c r="B23" s="20" t="n">
        <v>19</v>
      </c>
      <c r="C23" s="20"/>
      <c r="D23" s="14"/>
      <c r="E23" s="14"/>
      <c r="F23" s="14"/>
      <c r="G23" s="14"/>
      <c r="H23" s="20"/>
      <c r="I23" s="20"/>
    </row>
    <row r="24" customFormat="false" ht="21.75" hidden="false" customHeight="true" outlineLevel="0" collapsed="false">
      <c r="B24" s="22" t="n">
        <v>20</v>
      </c>
      <c r="C24" s="22"/>
      <c r="D24" s="24"/>
      <c r="E24" s="24"/>
      <c r="F24" s="24"/>
      <c r="G24" s="24"/>
      <c r="H24" s="22"/>
      <c r="I24" s="22"/>
    </row>
    <row r="25" customFormat="false" ht="21.75" hidden="false" customHeight="true" outlineLevel="0" collapsed="false">
      <c r="B25" s="20" t="n">
        <v>21</v>
      </c>
      <c r="C25" s="20"/>
      <c r="D25" s="14"/>
      <c r="E25" s="14"/>
      <c r="F25" s="14"/>
      <c r="G25" s="14"/>
      <c r="H25" s="20"/>
      <c r="I25" s="20"/>
    </row>
    <row r="26" customFormat="false" ht="21.75" hidden="false" customHeight="true" outlineLevel="0" collapsed="false">
      <c r="B26" s="22" t="n">
        <v>22</v>
      </c>
      <c r="C26" s="22"/>
      <c r="D26" s="24"/>
      <c r="E26" s="24"/>
      <c r="F26" s="24"/>
      <c r="G26" s="24"/>
      <c r="H26" s="22"/>
      <c r="I26" s="22"/>
    </row>
    <row r="27" customFormat="false" ht="21.75" hidden="false" customHeight="true" outlineLevel="0" collapsed="false">
      <c r="B27" s="20" t="n">
        <v>23</v>
      </c>
      <c r="C27" s="20"/>
      <c r="D27" s="14"/>
      <c r="E27" s="14"/>
      <c r="F27" s="14"/>
      <c r="G27" s="14"/>
      <c r="H27" s="20"/>
      <c r="I27" s="20"/>
    </row>
    <row r="28" customFormat="false" ht="21.75" hidden="false" customHeight="true" outlineLevel="0" collapsed="false">
      <c r="B28" s="22" t="n">
        <v>24</v>
      </c>
      <c r="C28" s="22"/>
      <c r="D28" s="24"/>
      <c r="E28" s="24"/>
      <c r="F28" s="24"/>
      <c r="G28" s="24"/>
      <c r="H28" s="22"/>
      <c r="I28" s="22"/>
    </row>
    <row r="29" customFormat="false" ht="21.75" hidden="false" customHeight="true" outlineLevel="0" collapsed="false">
      <c r="B29" s="20" t="n">
        <v>25</v>
      </c>
      <c r="C29" s="20"/>
      <c r="D29" s="14"/>
      <c r="E29" s="14"/>
      <c r="F29" s="14"/>
      <c r="G29" s="14"/>
      <c r="H29" s="20"/>
      <c r="I29" s="20"/>
    </row>
    <row r="30" customFormat="false" ht="21.75" hidden="false" customHeight="true" outlineLevel="0" collapsed="false">
      <c r="B30" s="22" t="n">
        <v>26</v>
      </c>
      <c r="C30" s="22"/>
      <c r="D30" s="24"/>
      <c r="E30" s="24"/>
      <c r="F30" s="24"/>
      <c r="G30" s="24"/>
      <c r="H30" s="22"/>
      <c r="I30" s="22"/>
    </row>
    <row r="31" customFormat="false" ht="21.75" hidden="false" customHeight="true" outlineLevel="0" collapsed="false">
      <c r="B31" s="20" t="n">
        <v>27</v>
      </c>
      <c r="C31" s="20"/>
      <c r="D31" s="14"/>
      <c r="E31" s="14"/>
      <c r="F31" s="14"/>
      <c r="G31" s="14"/>
      <c r="H31" s="20"/>
      <c r="I31" s="20"/>
    </row>
    <row r="32" customFormat="false" ht="21.75" hidden="false" customHeight="true" outlineLevel="0" collapsed="false">
      <c r="B32" s="22" t="n">
        <v>28</v>
      </c>
      <c r="C32" s="22"/>
      <c r="D32" s="24"/>
      <c r="E32" s="24"/>
      <c r="F32" s="24"/>
      <c r="G32" s="24"/>
      <c r="H32" s="22"/>
      <c r="I32" s="22"/>
    </row>
    <row r="33" customFormat="false" ht="21.75" hidden="false" customHeight="true" outlineLevel="0" collapsed="false">
      <c r="B33" s="20" t="n">
        <v>29</v>
      </c>
      <c r="C33" s="20"/>
      <c r="D33" s="14"/>
      <c r="E33" s="14"/>
      <c r="F33" s="14"/>
      <c r="G33" s="14"/>
      <c r="H33" s="20"/>
      <c r="I33" s="20"/>
    </row>
    <row r="34" customFormat="false" ht="21.75" hidden="false" customHeight="true" outlineLevel="0" collapsed="false">
      <c r="B34" s="22" t="n">
        <v>30</v>
      </c>
      <c r="C34" s="22"/>
      <c r="D34" s="24"/>
      <c r="E34" s="24"/>
      <c r="F34" s="24"/>
      <c r="G34" s="24"/>
      <c r="H34" s="22"/>
      <c r="I34" s="22"/>
    </row>
  </sheetData>
  <mergeCells count="2">
    <mergeCell ref="B2:I2"/>
    <mergeCell ref="B3:I3"/>
  </mergeCells>
  <conditionalFormatting sqref="I5:I34">
    <cfRule type="cellIs" priority="2" operator="equal" aboveAverage="0" equalAverage="0" bottom="0" percent="0" rank="0" text="" dxfId="0">
      <formula>"Cerrado"</formula>
    </cfRule>
    <cfRule type="cellIs" priority="3" operator="equal" aboveAverage="0" equalAverage="0" bottom="0" percent="0" rank="0" text="" dxfId="3">
      <formula>"En proceso"</formula>
    </cfRule>
    <cfRule type="cellIs" priority="4" operator="equal" aboveAverage="0" equalAverage="0" bottom="0" percent="0" rank="0" text="" dxfId="2">
      <formula>"Abierto"</formula>
    </cfRule>
  </conditionalFormatting>
  <dataValidations count="1">
    <dataValidation allowBlank="true" errorStyle="stop" operator="between" showDropDown="false" showErrorMessage="false" showInputMessage="false" sqref="I5:I34" type="list">
      <formula1>"Abierto,En proceso,Cerrado"</formula1>
      <formula2>0</formula2>
    </dataValidation>
  </dataValidation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2" customFormat="false" ht="27.75" hidden="false" customHeight="true" outlineLevel="0" collapsed="false">
      <c r="B2" s="26" t="s">
        <v>109</v>
      </c>
    </row>
    <row r="4" customFormat="false" ht="21.75" hidden="false" customHeight="true" outlineLevel="0" collapsed="false">
      <c r="B4" s="27" t="s">
        <v>110</v>
      </c>
    </row>
    <row r="5" customFormat="false" ht="45" hidden="false" customHeight="true" outlineLevel="0" collapsed="false">
      <c r="B5" s="28" t="s">
        <v>111</v>
      </c>
    </row>
    <row r="7" customFormat="false" ht="21.75" hidden="false" customHeight="true" outlineLevel="0" collapsed="false">
      <c r="B7" s="27" t="s">
        <v>112</v>
      </c>
    </row>
    <row r="8" customFormat="false" ht="105" hidden="false" customHeight="true" outlineLevel="0" collapsed="false">
      <c r="B8" s="28" t="s">
        <v>113</v>
      </c>
    </row>
    <row r="10" customFormat="false" ht="21.75" hidden="false" customHeight="true" outlineLevel="0" collapsed="false">
      <c r="B10" s="27" t="s">
        <v>114</v>
      </c>
    </row>
    <row r="11" customFormat="false" ht="45" hidden="false" customHeight="true" outlineLevel="0" collapsed="false">
      <c r="B11" s="28" t="s">
        <v>115</v>
      </c>
    </row>
    <row r="13" customFormat="false" ht="21.75" hidden="false" customHeight="true" outlineLevel="0" collapsed="false">
      <c r="B13" s="27" t="s">
        <v>116</v>
      </c>
    </row>
    <row r="14" customFormat="false" ht="45" hidden="false" customHeight="true" outlineLevel="0" collapsed="false">
      <c r="B14" s="28" t="s">
        <v>117</v>
      </c>
    </row>
    <row r="16" customFormat="false" ht="21.75" hidden="false" customHeight="true" outlineLevel="0" collapsed="false">
      <c r="B16" s="27" t="s">
        <v>118</v>
      </c>
    </row>
    <row r="17" customFormat="false" ht="60" hidden="false" customHeight="true" outlineLevel="0" collapsed="false">
      <c r="B17" s="28" t="s">
        <v>119</v>
      </c>
    </row>
    <row r="19" customFormat="false" ht="21.75" hidden="false" customHeight="true" outlineLevel="0" collapsed="false">
      <c r="B19" s="27" t="s">
        <v>120</v>
      </c>
    </row>
    <row r="20" customFormat="false" ht="45" hidden="false" customHeight="true" outlineLevel="0" collapsed="false">
      <c r="B20" s="28" t="s">
        <v>121</v>
      </c>
    </row>
    <row r="22" customFormat="false" ht="21.75" hidden="false" customHeight="true" outlineLevel="0" collapsed="false">
      <c r="B22" s="27" t="s">
        <v>122</v>
      </c>
    </row>
    <row r="23" customFormat="false" ht="45" hidden="false" customHeight="true" outlineLevel="0" collapsed="false">
      <c r="B23" s="28" t="s">
        <v>123</v>
      </c>
    </row>
  </sheetData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2026-05-07T15:51:21Z</dcterms:created>
  <dc:creator>openpyxl</dc:creator>
  <dc:description/>
  <dc:language>en-US</dc:language>
  <cp:lastModifiedBy/>
  <dcterms:modified xsi:type="dcterms:W3CDTF">2026-05-07T09:51:23Z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